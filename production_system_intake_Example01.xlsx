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Classes\2025_01_Spring\ASU\Computation\Week04\New folder\Intake\"/>
    </mc:Choice>
  </mc:AlternateContent>
  <xr:revisionPtr revIDLastSave="0" documentId="13_ncr:1_{15D3801B-DD02-4CB1-ACEA-06AC90F013FC}" xr6:coauthVersionLast="47" xr6:coauthVersionMax="47" xr10:uidLastSave="{00000000-0000-0000-0000-000000000000}"/>
  <bookViews>
    <workbookView xWindow="-120" yWindow="-120" windowWidth="38640" windowHeight="21240" tabRatio="857" activeTab="5" xr2:uid="{00000000-000D-0000-FFFF-FFFF00000000}"/>
  </bookViews>
  <sheets>
    <sheet name="ProcessorTypeTbl" sheetId="3" r:id="rId1"/>
    <sheet name="LocationTbl" sheetId="4" r:id="rId2"/>
    <sheet name="TaskTbl" sheetId="1" r:id="rId3"/>
    <sheet name="TaskResourcesTbl" sheetId="18" r:id="rId4"/>
    <sheet name="ResourceTbl" sheetId="2" r:id="rId5"/>
    <sheet name="ProcessorTbl" sheetId="5" r:id="rId6"/>
    <sheet name="StationTbl" sheetId="6" r:id="rId7"/>
    <sheet name="ProductsTbl" sheetId="7" r:id="rId8"/>
    <sheet name="ConfigTbl" sheetId="8" r:id="rId9"/>
    <sheet name="ProcessUnitTbl" sheetId="9" r:id="rId10"/>
    <sheet name="ArrivalUnitTbl" sheetId="10" r:id="rId11"/>
    <sheet name="ComponentsTbl" sheetId="11" r:id="rId12"/>
    <sheet name="Product01" sheetId="13" r:id="rId13"/>
    <sheet name="ArrivalDatesTbl" sheetId="15" r:id="rId14"/>
    <sheet name="ArrivalRatesTbl" sheetId="14" r:id="rId15"/>
    <sheet name="DeliveryRatesTbl" sheetId="16" r:id="rId16"/>
    <sheet name="DeliveryDatesTbl" sheetId="17" r:id="rId17"/>
    <sheet name="PersonnelTbl_todo" sheetId="19" r:id="rId18"/>
    <sheet name="HolidayClndrTbl_todo" sheetId="22" r:id="rId19"/>
    <sheet name="PTOTbl_todo" sheetId="24" r:id="rId20"/>
    <sheet name="OvertimeTable_todo" sheetId="25" r:id="rId21"/>
    <sheet name="SchdPaternTbl_todo" sheetId="23" r:id="rId22"/>
    <sheet name="ShiftTbl_todo" sheetId="20" r:id="rId23"/>
    <sheet name="ShiftSegmentTbl_todo" sheetId="26" r:id="rId24"/>
    <sheet name="ProductionModel_todo" sheetId="21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8" l="1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Q51" i="18"/>
  <c r="Q52" i="18"/>
  <c r="Q53" i="18"/>
  <c r="Q54" i="18"/>
  <c r="Q55" i="18"/>
  <c r="Q56" i="18"/>
  <c r="Q57" i="18"/>
  <c r="Q58" i="18"/>
  <c r="Q59" i="18"/>
  <c r="Q60" i="18"/>
  <c r="Q61" i="18"/>
  <c r="Q62" i="18"/>
  <c r="Q63" i="18"/>
  <c r="Q64" i="18"/>
  <c r="Q65" i="18"/>
  <c r="Q66" i="18"/>
  <c r="Q67" i="18"/>
  <c r="Q68" i="18"/>
  <c r="Q69" i="18"/>
  <c r="Q70" i="18"/>
  <c r="Q71" i="18"/>
  <c r="Q5" i="18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</calcChain>
</file>

<file path=xl/sharedStrings.xml><?xml version="1.0" encoding="utf-8"?>
<sst xmlns="http://schemas.openxmlformats.org/spreadsheetml/2006/main" count="1361" uniqueCount="511">
  <si>
    <t>TaskIndex</t>
  </si>
  <si>
    <t>TaskID</t>
  </si>
  <si>
    <t>ProcessorIndex</t>
  </si>
  <si>
    <t>ProcessorID</t>
  </si>
  <si>
    <t>ProcessorDesc</t>
  </si>
  <si>
    <t>GenRateProcessTime</t>
  </si>
  <si>
    <t>StndrdRateProcessTime</t>
  </si>
  <si>
    <t>VarRateProcessTime</t>
  </si>
  <si>
    <t>LearnCurvePct</t>
  </si>
  <si>
    <t>LearnCurveMaxThreshold</t>
  </si>
  <si>
    <t>MinProcessTimePct</t>
  </si>
  <si>
    <t>MaxProcessTimePct</t>
  </si>
  <si>
    <t>YeildPct</t>
  </si>
  <si>
    <t>BatchSizeReq</t>
  </si>
  <si>
    <t>UnbatchingSize</t>
  </si>
  <si>
    <t>ComponentsGenerated</t>
  </si>
  <si>
    <t>task001</t>
  </si>
  <si>
    <t>Source01</t>
  </si>
  <si>
    <t>PreATLO Prop subsystem_IandT</t>
  </si>
  <si>
    <t>task002</t>
  </si>
  <si>
    <t>Install NY Antennas</t>
  </si>
  <si>
    <t>Processor01</t>
  </si>
  <si>
    <t>NY_Pannel_Integration</t>
  </si>
  <si>
    <t>task003</t>
  </si>
  <si>
    <t>task004</t>
  </si>
  <si>
    <t>task005</t>
  </si>
  <si>
    <t>task006</t>
  </si>
  <si>
    <t>task007</t>
  </si>
  <si>
    <t>task008</t>
  </si>
  <si>
    <t>task009</t>
  </si>
  <si>
    <t>task010</t>
  </si>
  <si>
    <t>task011</t>
  </si>
  <si>
    <t>NY Panel Closeouts</t>
  </si>
  <si>
    <t>task012</t>
  </si>
  <si>
    <t>Processor02</t>
  </si>
  <si>
    <t>NX_Pannel_Integration</t>
  </si>
  <si>
    <t>task013</t>
  </si>
  <si>
    <t>task014</t>
  </si>
  <si>
    <t>task015</t>
  </si>
  <si>
    <t>task016</t>
  </si>
  <si>
    <t>task017</t>
  </si>
  <si>
    <t>task018</t>
  </si>
  <si>
    <t>task019</t>
  </si>
  <si>
    <t>task020</t>
  </si>
  <si>
    <t>task021</t>
  </si>
  <si>
    <t>task022</t>
  </si>
  <si>
    <t>task023</t>
  </si>
  <si>
    <t>task024</t>
  </si>
  <si>
    <t>NX Panel Closeouts</t>
  </si>
  <si>
    <t>task025</t>
  </si>
  <si>
    <t>Processor03</t>
  </si>
  <si>
    <t>NZ_Pannel_Integration</t>
  </si>
  <si>
    <t>task026</t>
  </si>
  <si>
    <t>Install NZ Closeout Cover Antennas</t>
  </si>
  <si>
    <t>task027</t>
  </si>
  <si>
    <t>task028</t>
  </si>
  <si>
    <t>task029</t>
  </si>
  <si>
    <t>task030</t>
  </si>
  <si>
    <t>task031</t>
  </si>
  <si>
    <t>task032</t>
  </si>
  <si>
    <t>task033</t>
  </si>
  <si>
    <t>task034</t>
  </si>
  <si>
    <t>task035</t>
  </si>
  <si>
    <t>NZ Closeout Cover Closeouts</t>
  </si>
  <si>
    <t>task036</t>
  </si>
  <si>
    <t>Processor04</t>
  </si>
  <si>
    <t>PY_Pannel_Integration</t>
  </si>
  <si>
    <t>task037</t>
  </si>
  <si>
    <t>task038</t>
  </si>
  <si>
    <t>task039</t>
  </si>
  <si>
    <t>task040</t>
  </si>
  <si>
    <t>task041</t>
  </si>
  <si>
    <t>task042</t>
  </si>
  <si>
    <t>task043</t>
  </si>
  <si>
    <t>task044</t>
  </si>
  <si>
    <t>task045</t>
  </si>
  <si>
    <t>task046</t>
  </si>
  <si>
    <t>task047</t>
  </si>
  <si>
    <t>task048</t>
  </si>
  <si>
    <t>task049</t>
  </si>
  <si>
    <t>PY Panel Closeouts</t>
  </si>
  <si>
    <t>task050</t>
  </si>
  <si>
    <t>Prep and Install PX Antennas</t>
  </si>
  <si>
    <t>Processor05</t>
  </si>
  <si>
    <t>PX_Pannel_Integration</t>
  </si>
  <si>
    <t>task051</t>
  </si>
  <si>
    <t>task052</t>
  </si>
  <si>
    <t>PX Install GPS Receiver</t>
  </si>
  <si>
    <t>task053</t>
  </si>
  <si>
    <t>task054</t>
  </si>
  <si>
    <t>task055</t>
  </si>
  <si>
    <t>task056</t>
  </si>
  <si>
    <t>task057</t>
  </si>
  <si>
    <t>task058</t>
  </si>
  <si>
    <t>Install PX Units</t>
  </si>
  <si>
    <t>task059</t>
  </si>
  <si>
    <t>task060</t>
  </si>
  <si>
    <t>task061</t>
  </si>
  <si>
    <t>task062</t>
  </si>
  <si>
    <t>PX Panel Closeouts</t>
  </si>
  <si>
    <t>task063</t>
  </si>
  <si>
    <t>PZ Closeout Cover Integration</t>
  </si>
  <si>
    <t>Processor06</t>
  </si>
  <si>
    <t>PZ_Pannel_Integration</t>
  </si>
  <si>
    <t>task064</t>
  </si>
  <si>
    <t>task065</t>
  </si>
  <si>
    <t>PZ Install 5V Converter</t>
  </si>
  <si>
    <t>task066</t>
  </si>
  <si>
    <t>task067</t>
  </si>
  <si>
    <t>task068</t>
  </si>
  <si>
    <t>task069</t>
  </si>
  <si>
    <t>task070</t>
  </si>
  <si>
    <t>task071</t>
  </si>
  <si>
    <t>PZ Closeout Cover Closeouts</t>
  </si>
  <si>
    <t>task072</t>
  </si>
  <si>
    <t>Processor07</t>
  </si>
  <si>
    <t>task073</t>
  </si>
  <si>
    <t>task074</t>
  </si>
  <si>
    <t>task075</t>
  </si>
  <si>
    <t>task076</t>
  </si>
  <si>
    <t>task077</t>
  </si>
  <si>
    <t>task078</t>
  </si>
  <si>
    <t>task079</t>
  </si>
  <si>
    <t>task080</t>
  </si>
  <si>
    <t>Processor08</t>
  </si>
  <si>
    <t>Processor09</t>
  </si>
  <si>
    <t>Sink01</t>
  </si>
  <si>
    <t>Unit_Produced</t>
  </si>
  <si>
    <t>ResourceIndex</t>
  </si>
  <si>
    <t>ResourceIndex.1</t>
  </si>
  <si>
    <t>ResourceName</t>
  </si>
  <si>
    <t>ResourceType</t>
  </si>
  <si>
    <t>TotalResourceUnitsAvailable</t>
  </si>
  <si>
    <t>DownProbabilityPerUnit</t>
  </si>
  <si>
    <t>DownReplacementDelay</t>
  </si>
  <si>
    <t>Units</t>
  </si>
  <si>
    <t>Resource01</t>
  </si>
  <si>
    <t>PERSONNEL</t>
  </si>
  <si>
    <t>hours</t>
  </si>
  <si>
    <t>Resource02</t>
  </si>
  <si>
    <t>Resource03</t>
  </si>
  <si>
    <t>Quality Inspector</t>
  </si>
  <si>
    <t>Resource04</t>
  </si>
  <si>
    <t>Resource05</t>
  </si>
  <si>
    <t>Mech Tech</t>
  </si>
  <si>
    <t>Resource06</t>
  </si>
  <si>
    <t>Flotron</t>
  </si>
  <si>
    <t>VEHICLE</t>
  </si>
  <si>
    <t>Resource07</t>
  </si>
  <si>
    <t>Panel Assmebly Stands</t>
  </si>
  <si>
    <t>MSGS</t>
  </si>
  <si>
    <t>Resource08</t>
  </si>
  <si>
    <t>SV/Prop Lifting Sling</t>
  </si>
  <si>
    <t>Resource09</t>
  </si>
  <si>
    <t>SV Lifting GS</t>
  </si>
  <si>
    <t>Resource10</t>
  </si>
  <si>
    <t>TVAC Config GSE</t>
  </si>
  <si>
    <t>Resource11</t>
  </si>
  <si>
    <t>Stack Lifting GSE</t>
  </si>
  <si>
    <t>Resource12</t>
  </si>
  <si>
    <t>Dynamics Config GSE</t>
  </si>
  <si>
    <t>Resource13</t>
  </si>
  <si>
    <t>Vacuum Chamber</t>
  </si>
  <si>
    <t>Resource14</t>
  </si>
  <si>
    <t>Digital Multi Meter</t>
  </si>
  <si>
    <t>EGSE</t>
  </si>
  <si>
    <t>Resource15</t>
  </si>
  <si>
    <t>Resource16</t>
  </si>
  <si>
    <t>Prop GSE</t>
  </si>
  <si>
    <t>Resource17</t>
  </si>
  <si>
    <t>Resource18</t>
  </si>
  <si>
    <t>GPS Sim</t>
  </si>
  <si>
    <t>Resource19</t>
  </si>
  <si>
    <t>Resource20</t>
  </si>
  <si>
    <t>Resource21</t>
  </si>
  <si>
    <t>Resource22</t>
  </si>
  <si>
    <t>Resource23</t>
  </si>
  <si>
    <t>Mass Prop GSE</t>
  </si>
  <si>
    <t>Resource24</t>
  </si>
  <si>
    <t>Resource25</t>
  </si>
  <si>
    <t>Resource26</t>
  </si>
  <si>
    <t>Resource27</t>
  </si>
  <si>
    <t>Host Rack</t>
  </si>
  <si>
    <t>Component01</t>
  </si>
  <si>
    <t>Hardware Delivered from Inventory</t>
  </si>
  <si>
    <t>COMPONENT</t>
  </si>
  <si>
    <t>Component02</t>
  </si>
  <si>
    <t>SpaceVehicle w/ Panels</t>
  </si>
  <si>
    <t>ProcessorTypeIndex</t>
  </si>
  <si>
    <t>ProcessorTypeID</t>
  </si>
  <si>
    <t>ProcessorType</t>
  </si>
  <si>
    <t>PTYPE01</t>
  </si>
  <si>
    <t>ACQUIRE_SCHD_SOURCE</t>
  </si>
  <si>
    <t>PTYPE02</t>
  </si>
  <si>
    <t>ACQUIRE_RATE_SOURCE</t>
  </si>
  <si>
    <t>PTYPE03</t>
  </si>
  <si>
    <t>ACQUIRE_PUSH_SOURCE</t>
  </si>
  <si>
    <t>PTYPE04</t>
  </si>
  <si>
    <t>ACQUIRE_PULL_SOURCE</t>
  </si>
  <si>
    <t>PTYPE05</t>
  </si>
  <si>
    <t>NORMAL_PROCESSOR</t>
  </si>
  <si>
    <t>PTYPE06</t>
  </si>
  <si>
    <t>SEPERATOR_PROCESSOR</t>
  </si>
  <si>
    <t>PTYPE07</t>
  </si>
  <si>
    <t>COMBINOR_PROCESSOR</t>
  </si>
  <si>
    <t>PTYPE08</t>
  </si>
  <si>
    <t>BATCH_PROCESSOR</t>
  </si>
  <si>
    <t>PTYPE09</t>
  </si>
  <si>
    <t>UNBATCH_PROCESSOR</t>
  </si>
  <si>
    <t>PTYPE10</t>
  </si>
  <si>
    <t>TEST_PROCESSOR</t>
  </si>
  <si>
    <t>PTYPE11</t>
  </si>
  <si>
    <t>REWORK_PROCESSOR</t>
  </si>
  <si>
    <t>PTYPE12</t>
  </si>
  <si>
    <t>DELIVERY_SCHD_SOURCE</t>
  </si>
  <si>
    <t>PTYPE13</t>
  </si>
  <si>
    <t>DELIVERY_RATE_SOURCE</t>
  </si>
  <si>
    <t>PTYPE14</t>
  </si>
  <si>
    <t>DELIVERY_PUSH_SOURCE</t>
  </si>
  <si>
    <t>PTYPE15</t>
  </si>
  <si>
    <t>DELIVERY_PULL_SOURCE</t>
  </si>
  <si>
    <t>LocationIndex</t>
  </si>
  <si>
    <t>LocationID</t>
  </si>
  <si>
    <t>LocationName</t>
  </si>
  <si>
    <t>AreaDesc</t>
  </si>
  <si>
    <t>SQFT</t>
  </si>
  <si>
    <t>LOC01</t>
  </si>
  <si>
    <t>LOC02</t>
  </si>
  <si>
    <t>LOC03</t>
  </si>
  <si>
    <t>LOC04</t>
  </si>
  <si>
    <t>LOC05</t>
  </si>
  <si>
    <t>NumberStations</t>
  </si>
  <si>
    <t>Location</t>
  </si>
  <si>
    <t>DownProabilityPerUnity</t>
  </si>
  <si>
    <t>DownDelay</t>
  </si>
  <si>
    <t>ProcessingUnits</t>
  </si>
  <si>
    <t>StationIndex</t>
  </si>
  <si>
    <t>StationID</t>
  </si>
  <si>
    <t>StationDesc</t>
  </si>
  <si>
    <t>StationType</t>
  </si>
  <si>
    <t>StationPriorityMethod</t>
  </si>
  <si>
    <t>StationCapacity</t>
  </si>
  <si>
    <t>DownProabilityPerUnit</t>
  </si>
  <si>
    <t>Station01</t>
  </si>
  <si>
    <t>FIFO</t>
  </si>
  <si>
    <t>Station02</t>
  </si>
  <si>
    <t>Station03</t>
  </si>
  <si>
    <t>Station04</t>
  </si>
  <si>
    <t>NY_Pannel_Integration_Line01_01</t>
  </si>
  <si>
    <t>Station05</t>
  </si>
  <si>
    <t>NY_Pannel_Integration_Line01_02</t>
  </si>
  <si>
    <t>Station06</t>
  </si>
  <si>
    <t>NY_Pannel_Integration_Line02_01</t>
  </si>
  <si>
    <t>Station07</t>
  </si>
  <si>
    <t>NY_Pannel_Integration_Line02_02</t>
  </si>
  <si>
    <t>Station08</t>
  </si>
  <si>
    <t>NX_Pannel_Integration_Line01_01</t>
  </si>
  <si>
    <t>Station09</t>
  </si>
  <si>
    <t>NX_Pannel_Integration_Line01_02</t>
  </si>
  <si>
    <t>Station10</t>
  </si>
  <si>
    <t>NX_Pannel_Integration_Line02_01</t>
  </si>
  <si>
    <t>Station11</t>
  </si>
  <si>
    <t>NX_Pannel_Integration_Line02_02</t>
  </si>
  <si>
    <t>Station12</t>
  </si>
  <si>
    <t>NZ_Pannel_Integration_Line01_01</t>
  </si>
  <si>
    <t>Station13</t>
  </si>
  <si>
    <t>NZ_Pannel_Integration_Line01_02</t>
  </si>
  <si>
    <t>Station14</t>
  </si>
  <si>
    <t>NZ_Pannel_Integration_Line02_01</t>
  </si>
  <si>
    <t>Station15</t>
  </si>
  <si>
    <t>NZ_Pannel_Integration_Line02_02</t>
  </si>
  <si>
    <t>Station16</t>
  </si>
  <si>
    <t>PY_Pannel_Integration_Line01_01</t>
  </si>
  <si>
    <t>Station17</t>
  </si>
  <si>
    <t>PY_Pannel_Integration_Line01_02</t>
  </si>
  <si>
    <t>Station18</t>
  </si>
  <si>
    <t>PY_Pannel_Integration_Line02_01</t>
  </si>
  <si>
    <t>Station19</t>
  </si>
  <si>
    <t>PY_Pannel_Integration_Line02_02</t>
  </si>
  <si>
    <t>Station20</t>
  </si>
  <si>
    <t>PX_Pannel_Integration_Line01_01</t>
  </si>
  <si>
    <t>Station21</t>
  </si>
  <si>
    <t>PX_Pannel_Integration_Line01_02</t>
  </si>
  <si>
    <t>Station22</t>
  </si>
  <si>
    <t>PX_Pannel_Integration_Line02_01</t>
  </si>
  <si>
    <t>Station23</t>
  </si>
  <si>
    <t>PX_Pannel_Integration_Line02_02</t>
  </si>
  <si>
    <t>Station24</t>
  </si>
  <si>
    <t>PZ_Pannel_Integration_Line01_01</t>
  </si>
  <si>
    <t>Station25</t>
  </si>
  <si>
    <t>PZ_Pannel_Integration_Line01_02</t>
  </si>
  <si>
    <t>PZ_Pannel_Integration_Line02_01</t>
  </si>
  <si>
    <t>PZ_Pannel_Integration_Line02_02</t>
  </si>
  <si>
    <t>Station28</t>
  </si>
  <si>
    <t>Station29</t>
  </si>
  <si>
    <t>Station30</t>
  </si>
  <si>
    <t>Station31</t>
  </si>
  <si>
    <t>Station32</t>
  </si>
  <si>
    <t>Station33</t>
  </si>
  <si>
    <t>ProductIndex</t>
  </si>
  <si>
    <t>ProductID</t>
  </si>
  <si>
    <t>ProductDesc</t>
  </si>
  <si>
    <t>ConfigIndex</t>
  </si>
  <si>
    <t>ConfigID</t>
  </si>
  <si>
    <t>ConfigDesc</t>
  </si>
  <si>
    <t>SV01</t>
  </si>
  <si>
    <t>ProcessUnitIndex</t>
  </si>
  <si>
    <t>ProcessUnitID</t>
  </si>
  <si>
    <t>ProcessUnitDesc</t>
  </si>
  <si>
    <t>ProcessUnit01</t>
  </si>
  <si>
    <t>ArrivalUnitIndex</t>
  </si>
  <si>
    <t>ArrivalUnitID</t>
  </si>
  <si>
    <t>ArrivalUnitDesc</t>
  </si>
  <si>
    <t>ArrivalUnit01</t>
  </si>
  <si>
    <t>Hardware from Inventory</t>
  </si>
  <si>
    <t>ComponentIndex</t>
  </si>
  <si>
    <t>ComponentID</t>
  </si>
  <si>
    <t>ComponentDesc</t>
  </si>
  <si>
    <t>UnitType</t>
  </si>
  <si>
    <t>UnitIndex</t>
  </si>
  <si>
    <t>UnitID</t>
  </si>
  <si>
    <t>UnitDesc</t>
  </si>
  <si>
    <t>ARRIVAL</t>
  </si>
  <si>
    <t>PROCESS</t>
  </si>
  <si>
    <t>TasksDesc</t>
  </si>
  <si>
    <t>Pre-Prop subsystem</t>
  </si>
  <si>
    <t>NY Install Mod01</t>
  </si>
  <si>
    <t>NY Install Mod02</t>
  </si>
  <si>
    <t>NY Install Mod03</t>
  </si>
  <si>
    <t>Install NY Mod04</t>
  </si>
  <si>
    <t>Install &amp; Route NY Panel Harnessing</t>
  </si>
  <si>
    <t>Install NY Panel</t>
  </si>
  <si>
    <t>Install NX Panel</t>
  </si>
  <si>
    <t>Install PY Panel</t>
  </si>
  <si>
    <t>NY Stake</t>
  </si>
  <si>
    <t>PY Stake</t>
  </si>
  <si>
    <t>NX Install Mod05</t>
  </si>
  <si>
    <t>NX Install Mod06</t>
  </si>
  <si>
    <t>Install NX Mod07</t>
  </si>
  <si>
    <t>NX Install Mod08</t>
  </si>
  <si>
    <t>NX Install Mod09</t>
  </si>
  <si>
    <t>NX Install Mod10</t>
  </si>
  <si>
    <t>NX Install Mod11</t>
  </si>
  <si>
    <t>Install NX Mod12</t>
  </si>
  <si>
    <t>Egnr</t>
  </si>
  <si>
    <t>Tech</t>
  </si>
  <si>
    <t>MI tech</t>
  </si>
  <si>
    <t>Sys01 Rack</t>
  </si>
  <si>
    <t>Sys02 Rack</t>
  </si>
  <si>
    <t>Sys03 Rack</t>
  </si>
  <si>
    <t>Sys04 Rack</t>
  </si>
  <si>
    <t>Stimulator</t>
  </si>
  <si>
    <t>Sys05 Rack</t>
  </si>
  <si>
    <t>Sys06 rack</t>
  </si>
  <si>
    <t>Sys07 Rack (traveler)</t>
  </si>
  <si>
    <t>Sys00 Rack (Workcell)</t>
  </si>
  <si>
    <t>SV w/ Panels</t>
  </si>
  <si>
    <t>Install &amp; Route NX Panel</t>
  </si>
  <si>
    <t>NX Test</t>
  </si>
  <si>
    <t>NY Test</t>
  </si>
  <si>
    <t>NZ Test</t>
  </si>
  <si>
    <t>PY Test</t>
  </si>
  <si>
    <t>Install NZ Closeout Cover</t>
  </si>
  <si>
    <t>NX Stake/RTV</t>
  </si>
  <si>
    <t>NZ Install Mod13</t>
  </si>
  <si>
    <t>NZ Install Mod14</t>
  </si>
  <si>
    <t>NZ Install Mod15</t>
  </si>
  <si>
    <t>NZ Install Mod16</t>
  </si>
  <si>
    <t>NZ Install Field Joint</t>
  </si>
  <si>
    <t>Install NZ Closeout Cover Units</t>
  </si>
  <si>
    <t>NZ Stake/RTV</t>
  </si>
  <si>
    <t>PY Install Mod17</t>
  </si>
  <si>
    <t>PY Install Mod18</t>
  </si>
  <si>
    <t>Install PY Mod19</t>
  </si>
  <si>
    <t>PY Install Mod20</t>
  </si>
  <si>
    <t>PY Install Mod21</t>
  </si>
  <si>
    <t>PY Install Mod22</t>
  </si>
  <si>
    <t>PY Install Mod23</t>
  </si>
  <si>
    <t>PY Install Mounting Bracket</t>
  </si>
  <si>
    <t>Install PY Panel Units</t>
  </si>
  <si>
    <t>Install &amp; Route PY Panel</t>
  </si>
  <si>
    <t>NResource01</t>
  </si>
  <si>
    <t>NResource02</t>
  </si>
  <si>
    <t>NResource03</t>
  </si>
  <si>
    <t>NResource04</t>
  </si>
  <si>
    <t>NResource05</t>
  </si>
  <si>
    <t>NResource06</t>
  </si>
  <si>
    <t>NResource07</t>
  </si>
  <si>
    <t>NResource08</t>
  </si>
  <si>
    <t>NResource09</t>
  </si>
  <si>
    <t>NResource10</t>
  </si>
  <si>
    <t>NResource11</t>
  </si>
  <si>
    <t>NResource12</t>
  </si>
  <si>
    <t>NResource13</t>
  </si>
  <si>
    <t>NResource14</t>
  </si>
  <si>
    <t>NResource15</t>
  </si>
  <si>
    <t>NResource16</t>
  </si>
  <si>
    <t>NResource17</t>
  </si>
  <si>
    <t>NResource18</t>
  </si>
  <si>
    <t>NResource19</t>
  </si>
  <si>
    <t>NResource20</t>
  </si>
  <si>
    <t>NResource21</t>
  </si>
  <si>
    <t>NResource22</t>
  </si>
  <si>
    <t>NResource23</t>
  </si>
  <si>
    <t>NResource24</t>
  </si>
  <si>
    <t>NResource25</t>
  </si>
  <si>
    <t>NResource26</t>
  </si>
  <si>
    <t>NResource27</t>
  </si>
  <si>
    <t>NResource28</t>
  </si>
  <si>
    <t>NResource29</t>
  </si>
  <si>
    <t>NResource30</t>
  </si>
  <si>
    <t>NResource31</t>
  </si>
  <si>
    <t>NResource32</t>
  </si>
  <si>
    <t>NResource33</t>
  </si>
  <si>
    <t>NResource34</t>
  </si>
  <si>
    <t>NResource35</t>
  </si>
  <si>
    <t>NResource36</t>
  </si>
  <si>
    <t>NResource37</t>
  </si>
  <si>
    <t>NResource38</t>
  </si>
  <si>
    <t>NResource39</t>
  </si>
  <si>
    <t>NResource40</t>
  </si>
  <si>
    <t>NResource41</t>
  </si>
  <si>
    <t>NResource42</t>
  </si>
  <si>
    <t>NResource43</t>
  </si>
  <si>
    <t>NResource44</t>
  </si>
  <si>
    <t>NResource45</t>
  </si>
  <si>
    <t>NResource46</t>
  </si>
  <si>
    <t>NResource47</t>
  </si>
  <si>
    <t>NResource48</t>
  </si>
  <si>
    <t>NResource49</t>
  </si>
  <si>
    <t>NResource50</t>
  </si>
  <si>
    <t>Install PX Panel</t>
  </si>
  <si>
    <t>PX Install Mod24</t>
  </si>
  <si>
    <t>PX Install Mod25</t>
  </si>
  <si>
    <t>PX Install Mod26</t>
  </si>
  <si>
    <t>PX Install Mod27</t>
  </si>
  <si>
    <t>PX Install Mod28</t>
  </si>
  <si>
    <t>Install &amp; Route PX Mod30</t>
  </si>
  <si>
    <t>Pre_Prop_subsystem</t>
  </si>
  <si>
    <t>PX Test</t>
  </si>
  <si>
    <t>PX Stake</t>
  </si>
  <si>
    <t>Install PZ Closeout Cover</t>
  </si>
  <si>
    <t>PZ Install Mod29</t>
  </si>
  <si>
    <t>Install &amp; Route PZ Panel</t>
  </si>
  <si>
    <t>PZ Install Mod30</t>
  </si>
  <si>
    <t>PZ Stake</t>
  </si>
  <si>
    <t>PZ Test</t>
  </si>
  <si>
    <t>Area01</t>
  </si>
  <si>
    <t>Area02</t>
  </si>
  <si>
    <t>Area03</t>
  </si>
  <si>
    <t>Area04</t>
  </si>
  <si>
    <t>Area05</t>
  </si>
  <si>
    <t>Units Produced</t>
  </si>
  <si>
    <t>Join Panels</t>
  </si>
  <si>
    <t>Join_Pannels</t>
  </si>
  <si>
    <t>Integration Test</t>
  </si>
  <si>
    <t>Vacuum Chamber Test</t>
  </si>
  <si>
    <t>Move Panels</t>
  </si>
  <si>
    <t>GSE Lift</t>
  </si>
  <si>
    <t>Packout</t>
  </si>
  <si>
    <t>Rework</t>
  </si>
  <si>
    <t>Packout_Lift</t>
  </si>
  <si>
    <t xml:space="preserve">Final Evaluation </t>
  </si>
  <si>
    <t>REWORK</t>
  </si>
  <si>
    <t>PreProp subsystem</t>
  </si>
  <si>
    <t>SAT01</t>
  </si>
  <si>
    <t>TaskPred</t>
  </si>
  <si>
    <t>ArrivalDate</t>
  </si>
  <si>
    <t>ArrivalValue</t>
  </si>
  <si>
    <t>ArrivalCount</t>
  </si>
  <si>
    <t>ArrivalUnits</t>
  </si>
  <si>
    <t>ArrivalDatesIndex</t>
  </si>
  <si>
    <t>ArrivalDatesID</t>
  </si>
  <si>
    <t>ArrivalDates01</t>
  </si>
  <si>
    <t>ArrivalDatesDesc</t>
  </si>
  <si>
    <t>Delivery 001</t>
  </si>
  <si>
    <t>ArrivalRatesID</t>
  </si>
  <si>
    <t>ArrivalRatesIndex</t>
  </si>
  <si>
    <t>ArrivalRatesDesc</t>
  </si>
  <si>
    <t>Delivery 002</t>
  </si>
  <si>
    <t>ArrivalRates01</t>
  </si>
  <si>
    <t>DeliveryRatesIndex</t>
  </si>
  <si>
    <t>DeliveryRatesID</t>
  </si>
  <si>
    <t>DeliveryRatess01</t>
  </si>
  <si>
    <t>DeliveryRatesDesc</t>
  </si>
  <si>
    <t>Due date Requirement</t>
  </si>
  <si>
    <t>DeliveryRateValue</t>
  </si>
  <si>
    <t>DeliveryUnits</t>
  </si>
  <si>
    <t>DeliveryCount</t>
  </si>
  <si>
    <t>DeliveryRateDate</t>
  </si>
  <si>
    <t>PersonnelIndex</t>
  </si>
  <si>
    <t>PersonnelID</t>
  </si>
  <si>
    <t>PersonnelDesc</t>
  </si>
  <si>
    <t>Npersonnel</t>
  </si>
  <si>
    <t>ProductionRate</t>
  </si>
  <si>
    <t>HourlyRate</t>
  </si>
  <si>
    <t>Capacity</t>
  </si>
  <si>
    <t>Schedual</t>
  </si>
  <si>
    <t>Shift</t>
  </si>
  <si>
    <t>HolidayCalendar</t>
  </si>
  <si>
    <t>PTO</t>
  </si>
  <si>
    <t>PTORate</t>
  </si>
  <si>
    <t>OvertimeAllowance</t>
  </si>
  <si>
    <t>OvertimeRate</t>
  </si>
  <si>
    <t>OvertimeR</t>
  </si>
  <si>
    <t>OnTimeStartReliability</t>
  </si>
  <si>
    <t>OnTimeStartFailureDelay</t>
  </si>
  <si>
    <t>ShiftIndex</t>
  </si>
  <si>
    <t>ShiftID</t>
  </si>
  <si>
    <t>ShiftDesc</t>
  </si>
  <si>
    <t>ShiftTbl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</si>
</sst>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D1" sqref="D1"/>
    </sheetView>
  </sheetViews>
  <sheetFormatPr defaultRowHeight="15" x14ac:dyDescent="0.25"/>
  <cols>
    <col min="2" max="2" width="15.85546875" bestFit="1" customWidth="1"/>
    <col min="3" max="3" width="23.28515625" bestFit="1" customWidth="1"/>
  </cols>
  <sheetData>
    <row r="1" spans="1:3" x14ac:dyDescent="0.25">
      <c r="A1" s="1" t="s">
        <v>188</v>
      </c>
      <c r="B1" s="1" t="s">
        <v>189</v>
      </c>
      <c r="C1" s="1" t="s">
        <v>190</v>
      </c>
    </row>
    <row r="2" spans="1:3" x14ac:dyDescent="0.25">
      <c r="A2">
        <v>0</v>
      </c>
      <c r="B2" t="s">
        <v>191</v>
      </c>
      <c r="C2" t="s">
        <v>192</v>
      </c>
    </row>
    <row r="3" spans="1:3" x14ac:dyDescent="0.25">
      <c r="A3">
        <v>1</v>
      </c>
      <c r="B3" t="s">
        <v>193</v>
      </c>
      <c r="C3" t="s">
        <v>194</v>
      </c>
    </row>
    <row r="4" spans="1:3" x14ac:dyDescent="0.25">
      <c r="A4">
        <v>2</v>
      </c>
      <c r="B4" t="s">
        <v>195</v>
      </c>
      <c r="C4" t="s">
        <v>196</v>
      </c>
    </row>
    <row r="5" spans="1:3" x14ac:dyDescent="0.25">
      <c r="A5">
        <v>3</v>
      </c>
      <c r="B5" t="s">
        <v>197</v>
      </c>
      <c r="C5" t="s">
        <v>198</v>
      </c>
    </row>
    <row r="6" spans="1:3" x14ac:dyDescent="0.25">
      <c r="A6">
        <v>4</v>
      </c>
      <c r="B6" t="s">
        <v>199</v>
      </c>
      <c r="C6" t="s">
        <v>200</v>
      </c>
    </row>
    <row r="7" spans="1:3" x14ac:dyDescent="0.25">
      <c r="A7">
        <v>5</v>
      </c>
      <c r="B7" t="s">
        <v>201</v>
      </c>
      <c r="C7" t="s">
        <v>202</v>
      </c>
    </row>
    <row r="8" spans="1:3" x14ac:dyDescent="0.25">
      <c r="A8">
        <v>6</v>
      </c>
      <c r="B8" t="s">
        <v>203</v>
      </c>
      <c r="C8" t="s">
        <v>204</v>
      </c>
    </row>
    <row r="9" spans="1:3" x14ac:dyDescent="0.25">
      <c r="A9">
        <v>7</v>
      </c>
      <c r="B9" t="s">
        <v>205</v>
      </c>
      <c r="C9" t="s">
        <v>206</v>
      </c>
    </row>
    <row r="10" spans="1:3" x14ac:dyDescent="0.25">
      <c r="A10">
        <v>8</v>
      </c>
      <c r="B10" t="s">
        <v>207</v>
      </c>
      <c r="C10" t="s">
        <v>208</v>
      </c>
    </row>
    <row r="11" spans="1:3" x14ac:dyDescent="0.25">
      <c r="A11">
        <v>9</v>
      </c>
      <c r="B11" t="s">
        <v>209</v>
      </c>
      <c r="C11" t="s">
        <v>210</v>
      </c>
    </row>
    <row r="12" spans="1:3" x14ac:dyDescent="0.25">
      <c r="A12">
        <v>10</v>
      </c>
      <c r="B12" t="s">
        <v>211</v>
      </c>
      <c r="C12" t="s">
        <v>212</v>
      </c>
    </row>
    <row r="13" spans="1:3" x14ac:dyDescent="0.25">
      <c r="A13">
        <v>11</v>
      </c>
      <c r="B13" t="s">
        <v>213</v>
      </c>
      <c r="C13" t="s">
        <v>214</v>
      </c>
    </row>
    <row r="14" spans="1:3" x14ac:dyDescent="0.25">
      <c r="A14">
        <v>12</v>
      </c>
      <c r="B14" t="s">
        <v>215</v>
      </c>
      <c r="C14" t="s">
        <v>216</v>
      </c>
    </row>
    <row r="15" spans="1:3" x14ac:dyDescent="0.25">
      <c r="A15">
        <v>13</v>
      </c>
      <c r="B15" t="s">
        <v>217</v>
      </c>
      <c r="C15" t="s">
        <v>218</v>
      </c>
    </row>
    <row r="16" spans="1:3" x14ac:dyDescent="0.25">
      <c r="A16">
        <v>14</v>
      </c>
      <c r="B16" t="s">
        <v>219</v>
      </c>
      <c r="C16" t="s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A2" sqref="A2:C6"/>
    </sheetView>
  </sheetViews>
  <sheetFormatPr defaultRowHeight="15" x14ac:dyDescent="0.25"/>
  <cols>
    <col min="1" max="1" width="13.5703125" bestFit="1" customWidth="1"/>
    <col min="2" max="2" width="10.28515625" bestFit="1" customWidth="1"/>
    <col min="3" max="3" width="17.7109375" bestFit="1" customWidth="1"/>
    <col min="4" max="4" width="30.5703125" bestFit="1" customWidth="1"/>
    <col min="5" max="5" width="5.42578125" bestFit="1" customWidth="1"/>
  </cols>
  <sheetData>
    <row r="1" spans="1:5" x14ac:dyDescent="0.25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</row>
    <row r="2" spans="1:5" x14ac:dyDescent="0.25">
      <c r="A2">
        <v>0</v>
      </c>
      <c r="B2" t="s">
        <v>226</v>
      </c>
      <c r="C2" t="s">
        <v>447</v>
      </c>
      <c r="E2">
        <v>1200</v>
      </c>
    </row>
    <row r="3" spans="1:5" x14ac:dyDescent="0.25">
      <c r="A3">
        <v>1</v>
      </c>
      <c r="B3" t="s">
        <v>227</v>
      </c>
      <c r="C3" t="s">
        <v>448</v>
      </c>
      <c r="E3">
        <v>1500</v>
      </c>
    </row>
    <row r="4" spans="1:5" x14ac:dyDescent="0.25">
      <c r="A4">
        <v>2</v>
      </c>
      <c r="B4" t="s">
        <v>228</v>
      </c>
      <c r="C4" t="s">
        <v>449</v>
      </c>
      <c r="E4">
        <v>2000</v>
      </c>
    </row>
    <row r="5" spans="1:5" x14ac:dyDescent="0.25">
      <c r="A5">
        <v>3</v>
      </c>
      <c r="B5" t="s">
        <v>229</v>
      </c>
      <c r="C5" t="s">
        <v>450</v>
      </c>
      <c r="E5">
        <v>1500</v>
      </c>
    </row>
    <row r="6" spans="1:5" x14ac:dyDescent="0.25">
      <c r="A6">
        <v>4</v>
      </c>
      <c r="B6" t="s">
        <v>230</v>
      </c>
      <c r="C6" t="s">
        <v>451</v>
      </c>
      <c r="E6">
        <v>1300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opLeftCell="A27" zoomScaleNormal="100" workbookViewId="0">
      <selection activeCell="A2" sqref="A2:C81"/>
    </sheetView>
  </sheetViews>
  <sheetFormatPr defaultRowHeight="15" x14ac:dyDescent="0.25"/>
  <cols>
    <col min="1" max="1" width="9.85546875" bestFit="1" customWidth="1"/>
    <col min="2" max="2" width="7.5703125" bestFit="1" customWidth="1"/>
    <col min="3" max="3" width="79.140625" bestFit="1" customWidth="1"/>
    <col min="4" max="4" width="14.7109375" bestFit="1" customWidth="1"/>
    <col min="5" max="5" width="11.5703125" bestFit="1" customWidth="1"/>
    <col min="6" max="6" width="30.85546875" bestFit="1" customWidth="1"/>
    <col min="7" max="7" width="20.140625" bestFit="1" customWidth="1"/>
    <col min="8" max="8" width="22.42578125" bestFit="1" customWidth="1"/>
    <col min="9" max="9" width="19.42578125" bestFit="1" customWidth="1"/>
    <col min="10" max="10" width="13.85546875" bestFit="1" customWidth="1"/>
    <col min="11" max="11" width="24.140625" bestFit="1" customWidth="1"/>
    <col min="12" max="12" width="18.7109375" bestFit="1" customWidth="1"/>
    <col min="13" max="13" width="19" bestFit="1" customWidth="1"/>
    <col min="14" max="14" width="8.28515625" bestFit="1" customWidth="1"/>
    <col min="15" max="15" width="12.85546875" bestFit="1" customWidth="1"/>
    <col min="16" max="16" width="14.85546875" bestFit="1" customWidth="1"/>
    <col min="17" max="17" width="22.28515625" bestFit="1" customWidth="1"/>
    <col min="18" max="18" width="13.5703125" bestFit="1" customWidth="1"/>
  </cols>
  <sheetData>
    <row r="1" spans="1:17" x14ac:dyDescent="0.25">
      <c r="A1" s="1" t="s">
        <v>0</v>
      </c>
      <c r="B1" s="1" t="s">
        <v>1</v>
      </c>
      <c r="C1" s="1" t="s">
        <v>324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>
        <v>0</v>
      </c>
      <c r="B2" t="s">
        <v>16</v>
      </c>
      <c r="C2" t="s">
        <v>325</v>
      </c>
      <c r="D2">
        <v>0</v>
      </c>
      <c r="E2" t="s">
        <v>17</v>
      </c>
      <c r="F2" t="s">
        <v>438</v>
      </c>
      <c r="G2">
        <v>0</v>
      </c>
      <c r="H2">
        <v>0</v>
      </c>
      <c r="I2">
        <v>0</v>
      </c>
      <c r="J2">
        <v>0.85</v>
      </c>
      <c r="L2">
        <f>SUM(G2:I2)*0.9</f>
        <v>0</v>
      </c>
      <c r="M2">
        <f>SUM(G2:I2)*1.3</f>
        <v>0</v>
      </c>
      <c r="N2" s="5">
        <v>1</v>
      </c>
      <c r="P2">
        <v>6</v>
      </c>
      <c r="Q2" t="s">
        <v>183</v>
      </c>
    </row>
    <row r="3" spans="1:17" x14ac:dyDescent="0.25">
      <c r="A3">
        <v>1</v>
      </c>
      <c r="B3" t="s">
        <v>19</v>
      </c>
      <c r="C3" t="s">
        <v>20</v>
      </c>
      <c r="D3">
        <v>1</v>
      </c>
      <c r="E3" t="s">
        <v>21</v>
      </c>
      <c r="F3" t="s">
        <v>22</v>
      </c>
      <c r="G3">
        <v>39</v>
      </c>
      <c r="J3">
        <v>0.85</v>
      </c>
      <c r="K3">
        <v>0.85</v>
      </c>
      <c r="L3">
        <f t="shared" ref="L3:L66" si="0">SUM(G3:I3)*0.9</f>
        <v>35.1</v>
      </c>
      <c r="M3">
        <f t="shared" ref="M3:M66" si="1">SUM(G3:I3)*1.3</f>
        <v>50.7</v>
      </c>
      <c r="N3" s="5">
        <v>1</v>
      </c>
    </row>
    <row r="4" spans="1:17" x14ac:dyDescent="0.25">
      <c r="A4">
        <v>2</v>
      </c>
      <c r="B4" t="s">
        <v>23</v>
      </c>
      <c r="C4" t="s">
        <v>331</v>
      </c>
      <c r="D4">
        <v>1</v>
      </c>
      <c r="E4" t="s">
        <v>21</v>
      </c>
      <c r="F4" t="s">
        <v>22</v>
      </c>
      <c r="H4">
        <v>12</v>
      </c>
      <c r="I4">
        <v>10</v>
      </c>
      <c r="J4">
        <v>0.85</v>
      </c>
      <c r="L4">
        <f t="shared" si="0"/>
        <v>19.8</v>
      </c>
      <c r="M4">
        <f t="shared" si="1"/>
        <v>28.6</v>
      </c>
      <c r="N4" s="5">
        <v>1</v>
      </c>
    </row>
    <row r="5" spans="1:17" x14ac:dyDescent="0.25">
      <c r="A5">
        <v>3</v>
      </c>
      <c r="B5" t="s">
        <v>24</v>
      </c>
      <c r="C5" t="s">
        <v>326</v>
      </c>
      <c r="D5">
        <v>1</v>
      </c>
      <c r="E5" t="s">
        <v>21</v>
      </c>
      <c r="F5" t="s">
        <v>22</v>
      </c>
      <c r="H5">
        <v>17</v>
      </c>
      <c r="I5">
        <v>5</v>
      </c>
      <c r="J5">
        <v>0.85</v>
      </c>
      <c r="L5">
        <f t="shared" si="0"/>
        <v>19.8</v>
      </c>
      <c r="M5">
        <f t="shared" si="1"/>
        <v>28.6</v>
      </c>
      <c r="N5" s="5">
        <v>1</v>
      </c>
    </row>
    <row r="6" spans="1:17" x14ac:dyDescent="0.25">
      <c r="A6">
        <v>4</v>
      </c>
      <c r="B6" t="s">
        <v>25</v>
      </c>
      <c r="C6" t="s">
        <v>327</v>
      </c>
      <c r="D6">
        <v>1</v>
      </c>
      <c r="E6" t="s">
        <v>21</v>
      </c>
      <c r="F6" t="s">
        <v>22</v>
      </c>
      <c r="H6">
        <v>6</v>
      </c>
      <c r="J6">
        <v>0.85</v>
      </c>
      <c r="L6">
        <f t="shared" si="0"/>
        <v>5.4</v>
      </c>
      <c r="M6">
        <f t="shared" si="1"/>
        <v>7.8000000000000007</v>
      </c>
      <c r="N6" s="5">
        <v>1</v>
      </c>
    </row>
    <row r="7" spans="1:17" x14ac:dyDescent="0.25">
      <c r="A7">
        <v>5</v>
      </c>
      <c r="B7" t="s">
        <v>26</v>
      </c>
      <c r="C7" t="s">
        <v>328</v>
      </c>
      <c r="D7">
        <v>1</v>
      </c>
      <c r="E7" t="s">
        <v>21</v>
      </c>
      <c r="F7" t="s">
        <v>22</v>
      </c>
      <c r="H7">
        <v>13</v>
      </c>
      <c r="I7">
        <v>7</v>
      </c>
      <c r="J7">
        <v>0.85</v>
      </c>
      <c r="L7">
        <f t="shared" si="0"/>
        <v>18</v>
      </c>
      <c r="M7">
        <f t="shared" si="1"/>
        <v>26</v>
      </c>
      <c r="N7" s="5">
        <v>1</v>
      </c>
    </row>
    <row r="8" spans="1:17" x14ac:dyDescent="0.25">
      <c r="A8">
        <v>6</v>
      </c>
      <c r="B8" t="s">
        <v>27</v>
      </c>
      <c r="C8" t="s">
        <v>329</v>
      </c>
      <c r="D8">
        <v>1</v>
      </c>
      <c r="E8" t="s">
        <v>21</v>
      </c>
      <c r="F8" t="s">
        <v>22</v>
      </c>
      <c r="H8">
        <v>9</v>
      </c>
      <c r="I8">
        <v>3</v>
      </c>
      <c r="J8">
        <v>0.85</v>
      </c>
      <c r="L8">
        <f t="shared" si="0"/>
        <v>10.8</v>
      </c>
      <c r="M8">
        <f t="shared" si="1"/>
        <v>15.600000000000001</v>
      </c>
      <c r="N8" s="5">
        <v>1</v>
      </c>
    </row>
    <row r="9" spans="1:17" x14ac:dyDescent="0.25">
      <c r="A9">
        <v>7</v>
      </c>
      <c r="B9" t="s">
        <v>28</v>
      </c>
      <c r="C9" t="s">
        <v>330</v>
      </c>
      <c r="D9">
        <v>1</v>
      </c>
      <c r="E9" t="s">
        <v>21</v>
      </c>
      <c r="F9" t="s">
        <v>22</v>
      </c>
      <c r="G9">
        <v>27</v>
      </c>
      <c r="J9">
        <v>0.99</v>
      </c>
      <c r="K9">
        <v>0.85</v>
      </c>
      <c r="L9">
        <f t="shared" si="0"/>
        <v>24.3</v>
      </c>
      <c r="M9">
        <f t="shared" si="1"/>
        <v>35.1</v>
      </c>
      <c r="N9" s="5">
        <v>1</v>
      </c>
    </row>
    <row r="10" spans="1:17" x14ac:dyDescent="0.25">
      <c r="A10">
        <v>8</v>
      </c>
      <c r="B10" t="s">
        <v>29</v>
      </c>
      <c r="C10" t="s">
        <v>359</v>
      </c>
      <c r="D10">
        <v>1</v>
      </c>
      <c r="E10" t="s">
        <v>21</v>
      </c>
      <c r="F10" t="s">
        <v>22</v>
      </c>
      <c r="H10">
        <v>12</v>
      </c>
      <c r="J10">
        <v>0.85</v>
      </c>
      <c r="L10">
        <f t="shared" si="0"/>
        <v>10.8</v>
      </c>
      <c r="M10">
        <f t="shared" si="1"/>
        <v>15.600000000000001</v>
      </c>
      <c r="N10" s="5">
        <v>0.99</v>
      </c>
    </row>
    <row r="11" spans="1:17" x14ac:dyDescent="0.25">
      <c r="A11">
        <v>9</v>
      </c>
      <c r="B11" t="s">
        <v>30</v>
      </c>
      <c r="C11" t="s">
        <v>334</v>
      </c>
      <c r="D11">
        <v>1</v>
      </c>
      <c r="E11" t="s">
        <v>21</v>
      </c>
      <c r="F11" t="s">
        <v>22</v>
      </c>
      <c r="H11">
        <v>6</v>
      </c>
      <c r="I11">
        <v>4</v>
      </c>
      <c r="J11">
        <v>0.85</v>
      </c>
      <c r="L11">
        <f t="shared" si="0"/>
        <v>9</v>
      </c>
      <c r="M11">
        <f t="shared" si="1"/>
        <v>13</v>
      </c>
      <c r="N11" s="5">
        <v>1</v>
      </c>
    </row>
    <row r="12" spans="1:17" x14ac:dyDescent="0.25">
      <c r="A12">
        <v>10</v>
      </c>
      <c r="B12" t="s">
        <v>31</v>
      </c>
      <c r="C12" t="s">
        <v>32</v>
      </c>
      <c r="D12">
        <v>1</v>
      </c>
      <c r="E12" t="s">
        <v>21</v>
      </c>
      <c r="F12" t="s">
        <v>22</v>
      </c>
      <c r="H12">
        <v>21</v>
      </c>
      <c r="I12">
        <v>5</v>
      </c>
      <c r="J12">
        <v>0.85</v>
      </c>
      <c r="L12">
        <f t="shared" si="0"/>
        <v>23.400000000000002</v>
      </c>
      <c r="M12">
        <f t="shared" si="1"/>
        <v>33.800000000000004</v>
      </c>
      <c r="N12" s="5">
        <v>1</v>
      </c>
    </row>
    <row r="13" spans="1:17" x14ac:dyDescent="0.25">
      <c r="A13">
        <v>11</v>
      </c>
      <c r="B13" t="s">
        <v>33</v>
      </c>
      <c r="C13" t="s">
        <v>332</v>
      </c>
      <c r="D13">
        <v>2</v>
      </c>
      <c r="E13" t="s">
        <v>34</v>
      </c>
      <c r="F13" t="s">
        <v>35</v>
      </c>
      <c r="H13">
        <v>19</v>
      </c>
      <c r="I13">
        <v>9</v>
      </c>
      <c r="J13">
        <v>0.85</v>
      </c>
      <c r="L13">
        <f t="shared" si="0"/>
        <v>25.2</v>
      </c>
      <c r="M13">
        <f t="shared" si="1"/>
        <v>36.4</v>
      </c>
      <c r="N13" s="5">
        <v>1</v>
      </c>
    </row>
    <row r="14" spans="1:17" x14ac:dyDescent="0.25">
      <c r="A14">
        <v>12</v>
      </c>
      <c r="B14" t="s">
        <v>36</v>
      </c>
      <c r="C14" t="s">
        <v>336</v>
      </c>
      <c r="D14">
        <v>2</v>
      </c>
      <c r="E14" t="s">
        <v>34</v>
      </c>
      <c r="F14" t="s">
        <v>35</v>
      </c>
      <c r="H14">
        <v>5</v>
      </c>
      <c r="I14">
        <v>2</v>
      </c>
      <c r="J14">
        <v>0.85</v>
      </c>
      <c r="L14">
        <f t="shared" si="0"/>
        <v>6.3</v>
      </c>
      <c r="M14">
        <f t="shared" si="1"/>
        <v>9.1</v>
      </c>
      <c r="N14" s="5">
        <v>1</v>
      </c>
    </row>
    <row r="15" spans="1:17" x14ac:dyDescent="0.25">
      <c r="A15">
        <v>13</v>
      </c>
      <c r="B15" t="s">
        <v>37</v>
      </c>
      <c r="C15" t="s">
        <v>337</v>
      </c>
      <c r="D15">
        <v>2</v>
      </c>
      <c r="E15" t="s">
        <v>34</v>
      </c>
      <c r="F15" t="s">
        <v>35</v>
      </c>
      <c r="H15">
        <v>11</v>
      </c>
      <c r="I15">
        <v>4</v>
      </c>
      <c r="J15">
        <v>0.85</v>
      </c>
      <c r="L15">
        <f t="shared" si="0"/>
        <v>13.5</v>
      </c>
      <c r="M15">
        <f t="shared" si="1"/>
        <v>19.5</v>
      </c>
      <c r="N15" s="5">
        <v>1</v>
      </c>
    </row>
    <row r="16" spans="1:17" x14ac:dyDescent="0.25">
      <c r="A16">
        <v>14</v>
      </c>
      <c r="B16" t="s">
        <v>38</v>
      </c>
      <c r="C16" t="s">
        <v>338</v>
      </c>
      <c r="D16">
        <v>2</v>
      </c>
      <c r="E16" t="s">
        <v>34</v>
      </c>
      <c r="F16" t="s">
        <v>35</v>
      </c>
      <c r="H16">
        <v>16</v>
      </c>
      <c r="I16">
        <v>15</v>
      </c>
      <c r="J16">
        <v>0.85</v>
      </c>
      <c r="L16">
        <f t="shared" si="0"/>
        <v>27.900000000000002</v>
      </c>
      <c r="M16">
        <f t="shared" si="1"/>
        <v>40.300000000000004</v>
      </c>
      <c r="N16" s="5">
        <v>1</v>
      </c>
    </row>
    <row r="17" spans="1:14" x14ac:dyDescent="0.25">
      <c r="A17">
        <v>15</v>
      </c>
      <c r="B17" t="s">
        <v>39</v>
      </c>
      <c r="C17" t="s">
        <v>339</v>
      </c>
      <c r="D17">
        <v>2</v>
      </c>
      <c r="E17" t="s">
        <v>34</v>
      </c>
      <c r="F17" t="s">
        <v>35</v>
      </c>
      <c r="H17">
        <v>10</v>
      </c>
      <c r="I17">
        <v>6</v>
      </c>
      <c r="J17">
        <v>0.85</v>
      </c>
      <c r="L17">
        <f t="shared" si="0"/>
        <v>14.4</v>
      </c>
      <c r="M17">
        <f t="shared" si="1"/>
        <v>20.8</v>
      </c>
      <c r="N17" s="5">
        <v>1</v>
      </c>
    </row>
    <row r="18" spans="1:14" x14ac:dyDescent="0.25">
      <c r="A18">
        <v>16</v>
      </c>
      <c r="B18" t="s">
        <v>40</v>
      </c>
      <c r="C18" t="s">
        <v>340</v>
      </c>
      <c r="D18">
        <v>2</v>
      </c>
      <c r="E18" t="s">
        <v>34</v>
      </c>
      <c r="F18" t="s">
        <v>35</v>
      </c>
      <c r="H18">
        <v>16</v>
      </c>
      <c r="I18">
        <v>2</v>
      </c>
      <c r="J18">
        <v>0.85</v>
      </c>
      <c r="L18">
        <f t="shared" si="0"/>
        <v>16.2</v>
      </c>
      <c r="M18">
        <f t="shared" si="1"/>
        <v>23.400000000000002</v>
      </c>
      <c r="N18" s="5">
        <v>1</v>
      </c>
    </row>
    <row r="19" spans="1:14" x14ac:dyDescent="0.25">
      <c r="A19">
        <v>17</v>
      </c>
      <c r="B19" t="s">
        <v>41</v>
      </c>
      <c r="C19" t="s">
        <v>341</v>
      </c>
      <c r="D19">
        <v>2</v>
      </c>
      <c r="E19" t="s">
        <v>34</v>
      </c>
      <c r="F19" t="s">
        <v>35</v>
      </c>
      <c r="G19">
        <v>23</v>
      </c>
      <c r="J19">
        <v>0.85</v>
      </c>
      <c r="K19">
        <v>0.85</v>
      </c>
      <c r="L19">
        <f t="shared" si="0"/>
        <v>20.7</v>
      </c>
      <c r="M19">
        <f t="shared" si="1"/>
        <v>29.900000000000002</v>
      </c>
      <c r="N19" s="5">
        <v>1</v>
      </c>
    </row>
    <row r="20" spans="1:14" x14ac:dyDescent="0.25">
      <c r="A20">
        <v>18</v>
      </c>
      <c r="B20" t="s">
        <v>42</v>
      </c>
      <c r="C20" t="s">
        <v>342</v>
      </c>
      <c r="D20">
        <v>2</v>
      </c>
      <c r="E20" t="s">
        <v>34</v>
      </c>
      <c r="F20" t="s">
        <v>35</v>
      </c>
      <c r="H20">
        <v>6</v>
      </c>
      <c r="I20">
        <v>5</v>
      </c>
      <c r="J20">
        <v>0.85</v>
      </c>
      <c r="L20">
        <f t="shared" si="0"/>
        <v>9.9</v>
      </c>
      <c r="M20">
        <f t="shared" si="1"/>
        <v>14.3</v>
      </c>
      <c r="N20" s="5">
        <v>1</v>
      </c>
    </row>
    <row r="21" spans="1:14" x14ac:dyDescent="0.25">
      <c r="A21">
        <v>19</v>
      </c>
      <c r="B21" t="s">
        <v>43</v>
      </c>
      <c r="C21" t="s">
        <v>343</v>
      </c>
      <c r="D21">
        <v>2</v>
      </c>
      <c r="E21" t="s">
        <v>34</v>
      </c>
      <c r="F21" t="s">
        <v>35</v>
      </c>
      <c r="G21">
        <v>23</v>
      </c>
      <c r="J21">
        <v>0.85</v>
      </c>
      <c r="K21">
        <v>0.85</v>
      </c>
      <c r="L21">
        <f t="shared" si="0"/>
        <v>20.7</v>
      </c>
      <c r="M21">
        <f t="shared" si="1"/>
        <v>29.900000000000002</v>
      </c>
      <c r="N21" s="5">
        <v>1</v>
      </c>
    </row>
    <row r="22" spans="1:14" x14ac:dyDescent="0.25">
      <c r="A22">
        <v>20</v>
      </c>
      <c r="B22" t="s">
        <v>44</v>
      </c>
      <c r="C22" t="s">
        <v>357</v>
      </c>
      <c r="D22">
        <v>2</v>
      </c>
      <c r="E22" t="s">
        <v>34</v>
      </c>
      <c r="F22" t="s">
        <v>35</v>
      </c>
      <c r="H22">
        <v>19</v>
      </c>
      <c r="I22">
        <v>1</v>
      </c>
      <c r="J22">
        <v>0.85</v>
      </c>
      <c r="L22">
        <f t="shared" si="0"/>
        <v>18</v>
      </c>
      <c r="M22">
        <f t="shared" si="1"/>
        <v>26</v>
      </c>
      <c r="N22" s="5">
        <v>1</v>
      </c>
    </row>
    <row r="23" spans="1:14" x14ac:dyDescent="0.25">
      <c r="A23">
        <v>21</v>
      </c>
      <c r="B23" t="s">
        <v>45</v>
      </c>
      <c r="C23" t="s">
        <v>358</v>
      </c>
      <c r="D23">
        <v>2</v>
      </c>
      <c r="E23" t="s">
        <v>34</v>
      </c>
      <c r="F23" t="s">
        <v>35</v>
      </c>
      <c r="H23">
        <v>20</v>
      </c>
      <c r="J23">
        <v>0.99</v>
      </c>
      <c r="L23">
        <f t="shared" si="0"/>
        <v>18</v>
      </c>
      <c r="M23">
        <f t="shared" si="1"/>
        <v>26</v>
      </c>
      <c r="N23" s="5">
        <v>0.99</v>
      </c>
    </row>
    <row r="24" spans="1:14" x14ac:dyDescent="0.25">
      <c r="A24">
        <v>22</v>
      </c>
      <c r="B24" t="s">
        <v>46</v>
      </c>
      <c r="C24" t="s">
        <v>363</v>
      </c>
      <c r="D24">
        <v>2</v>
      </c>
      <c r="E24" t="s">
        <v>34</v>
      </c>
      <c r="F24" t="s">
        <v>35</v>
      </c>
      <c r="H24">
        <v>28</v>
      </c>
      <c r="I24">
        <v>6</v>
      </c>
      <c r="J24">
        <v>0.85</v>
      </c>
      <c r="L24">
        <f t="shared" si="0"/>
        <v>30.6</v>
      </c>
      <c r="M24">
        <f t="shared" si="1"/>
        <v>44.2</v>
      </c>
      <c r="N24" s="5">
        <v>1</v>
      </c>
    </row>
    <row r="25" spans="1:14" x14ac:dyDescent="0.25">
      <c r="A25">
        <v>23</v>
      </c>
      <c r="B25" t="s">
        <v>47</v>
      </c>
      <c r="C25" t="s">
        <v>48</v>
      </c>
      <c r="D25">
        <v>2</v>
      </c>
      <c r="E25" t="s">
        <v>34</v>
      </c>
      <c r="F25" t="s">
        <v>35</v>
      </c>
      <c r="H25">
        <v>23</v>
      </c>
      <c r="I25">
        <v>10</v>
      </c>
      <c r="J25">
        <v>0.85</v>
      </c>
      <c r="L25">
        <f t="shared" si="0"/>
        <v>29.7</v>
      </c>
      <c r="M25">
        <f t="shared" si="1"/>
        <v>42.9</v>
      </c>
      <c r="N25" s="5">
        <v>1</v>
      </c>
    </row>
    <row r="26" spans="1:14" x14ac:dyDescent="0.25">
      <c r="A26">
        <v>24</v>
      </c>
      <c r="B26" t="s">
        <v>49</v>
      </c>
      <c r="C26" t="s">
        <v>362</v>
      </c>
      <c r="D26">
        <v>3</v>
      </c>
      <c r="E26" t="s">
        <v>50</v>
      </c>
      <c r="F26" t="s">
        <v>51</v>
      </c>
      <c r="H26">
        <v>19</v>
      </c>
      <c r="I26">
        <v>2</v>
      </c>
      <c r="J26">
        <v>0.85</v>
      </c>
      <c r="L26">
        <f t="shared" si="0"/>
        <v>18.900000000000002</v>
      </c>
      <c r="M26">
        <f t="shared" si="1"/>
        <v>27.3</v>
      </c>
      <c r="N26" s="5">
        <v>1</v>
      </c>
    </row>
    <row r="27" spans="1:14" x14ac:dyDescent="0.25">
      <c r="A27">
        <v>25</v>
      </c>
      <c r="B27" t="s">
        <v>52</v>
      </c>
      <c r="C27" t="s">
        <v>53</v>
      </c>
      <c r="D27">
        <v>3</v>
      </c>
      <c r="E27" t="s">
        <v>50</v>
      </c>
      <c r="F27" t="s">
        <v>51</v>
      </c>
      <c r="H27">
        <v>22</v>
      </c>
      <c r="I27">
        <v>17</v>
      </c>
      <c r="J27">
        <v>0.85</v>
      </c>
      <c r="L27">
        <f t="shared" si="0"/>
        <v>35.1</v>
      </c>
      <c r="M27">
        <f t="shared" si="1"/>
        <v>50.7</v>
      </c>
      <c r="N27" s="5">
        <v>1</v>
      </c>
    </row>
    <row r="28" spans="1:14" x14ac:dyDescent="0.25">
      <c r="A28">
        <v>26</v>
      </c>
      <c r="B28" t="s">
        <v>54</v>
      </c>
      <c r="C28" t="s">
        <v>364</v>
      </c>
      <c r="D28">
        <v>3</v>
      </c>
      <c r="E28" t="s">
        <v>50</v>
      </c>
      <c r="F28" t="s">
        <v>51</v>
      </c>
      <c r="G28">
        <v>1</v>
      </c>
      <c r="H28">
        <v>1</v>
      </c>
      <c r="I28">
        <v>0</v>
      </c>
      <c r="J28">
        <v>0.85</v>
      </c>
      <c r="K28">
        <v>0.85</v>
      </c>
      <c r="L28">
        <f t="shared" si="0"/>
        <v>1.8</v>
      </c>
      <c r="M28">
        <f t="shared" si="1"/>
        <v>2.6</v>
      </c>
      <c r="N28" s="5">
        <v>1</v>
      </c>
    </row>
    <row r="29" spans="1:14" x14ac:dyDescent="0.25">
      <c r="A29">
        <v>27</v>
      </c>
      <c r="B29" t="s">
        <v>55</v>
      </c>
      <c r="C29" s="2" t="s">
        <v>365</v>
      </c>
      <c r="D29">
        <v>3</v>
      </c>
      <c r="E29" t="s">
        <v>50</v>
      </c>
      <c r="F29" t="s">
        <v>51</v>
      </c>
      <c r="G29">
        <v>20</v>
      </c>
      <c r="J29">
        <v>0.85</v>
      </c>
      <c r="K29">
        <v>0.85</v>
      </c>
      <c r="L29">
        <f t="shared" si="0"/>
        <v>18</v>
      </c>
      <c r="M29">
        <f t="shared" si="1"/>
        <v>26</v>
      </c>
      <c r="N29" s="5">
        <v>1</v>
      </c>
    </row>
    <row r="30" spans="1:14" x14ac:dyDescent="0.25">
      <c r="A30">
        <v>28</v>
      </c>
      <c r="B30" t="s">
        <v>56</v>
      </c>
      <c r="C30" t="s">
        <v>366</v>
      </c>
      <c r="D30">
        <v>3</v>
      </c>
      <c r="E30" t="s">
        <v>50</v>
      </c>
      <c r="F30" t="s">
        <v>51</v>
      </c>
      <c r="G30">
        <v>11</v>
      </c>
      <c r="J30">
        <v>0.85</v>
      </c>
      <c r="K30">
        <v>0.85</v>
      </c>
      <c r="L30">
        <f t="shared" si="0"/>
        <v>9.9</v>
      </c>
      <c r="M30">
        <f t="shared" si="1"/>
        <v>14.3</v>
      </c>
      <c r="N30" s="5">
        <v>1</v>
      </c>
    </row>
    <row r="31" spans="1:14" x14ac:dyDescent="0.25">
      <c r="A31">
        <v>29</v>
      </c>
      <c r="B31" t="s">
        <v>57</v>
      </c>
      <c r="C31" t="s">
        <v>367</v>
      </c>
      <c r="D31">
        <v>3</v>
      </c>
      <c r="E31" t="s">
        <v>50</v>
      </c>
      <c r="F31" t="s">
        <v>51</v>
      </c>
      <c r="G31">
        <v>12</v>
      </c>
      <c r="J31">
        <v>0.85</v>
      </c>
      <c r="K31">
        <v>0.85</v>
      </c>
      <c r="L31">
        <f t="shared" si="0"/>
        <v>10.8</v>
      </c>
      <c r="M31">
        <f t="shared" si="1"/>
        <v>15.600000000000001</v>
      </c>
      <c r="N31" s="5">
        <v>1</v>
      </c>
    </row>
    <row r="32" spans="1:14" x14ac:dyDescent="0.25">
      <c r="A32">
        <v>30</v>
      </c>
      <c r="B32" t="s">
        <v>58</v>
      </c>
      <c r="C32" t="s">
        <v>368</v>
      </c>
      <c r="D32">
        <v>3</v>
      </c>
      <c r="E32" t="s">
        <v>50</v>
      </c>
      <c r="F32" t="s">
        <v>51</v>
      </c>
      <c r="H32">
        <v>4</v>
      </c>
      <c r="I32">
        <v>3</v>
      </c>
      <c r="J32">
        <v>0.85</v>
      </c>
      <c r="L32">
        <f t="shared" si="0"/>
        <v>6.3</v>
      </c>
      <c r="M32">
        <f t="shared" si="1"/>
        <v>9.1</v>
      </c>
      <c r="N32" s="5">
        <v>1</v>
      </c>
    </row>
    <row r="33" spans="1:14" x14ac:dyDescent="0.25">
      <c r="A33">
        <v>31</v>
      </c>
      <c r="B33" t="s">
        <v>59</v>
      </c>
      <c r="C33" t="s">
        <v>369</v>
      </c>
      <c r="D33">
        <v>3</v>
      </c>
      <c r="E33" t="s">
        <v>50</v>
      </c>
      <c r="F33" t="s">
        <v>51</v>
      </c>
      <c r="H33">
        <v>8</v>
      </c>
      <c r="J33">
        <v>0.99</v>
      </c>
      <c r="L33">
        <f t="shared" si="0"/>
        <v>7.2</v>
      </c>
      <c r="M33">
        <f t="shared" si="1"/>
        <v>10.4</v>
      </c>
      <c r="N33" s="5">
        <v>1</v>
      </c>
    </row>
    <row r="34" spans="1:14" x14ac:dyDescent="0.25">
      <c r="A34">
        <v>32</v>
      </c>
      <c r="B34" t="s">
        <v>60</v>
      </c>
      <c r="C34" t="s">
        <v>360</v>
      </c>
      <c r="D34">
        <v>3</v>
      </c>
      <c r="E34" t="s">
        <v>50</v>
      </c>
      <c r="F34" t="s">
        <v>51</v>
      </c>
      <c r="G34">
        <v>37</v>
      </c>
      <c r="J34">
        <v>0.85</v>
      </c>
      <c r="K34">
        <v>0.85</v>
      </c>
      <c r="L34">
        <f t="shared" si="0"/>
        <v>33.300000000000004</v>
      </c>
      <c r="M34">
        <f t="shared" si="1"/>
        <v>48.1</v>
      </c>
      <c r="N34" s="5">
        <v>0.99</v>
      </c>
    </row>
    <row r="35" spans="1:14" x14ac:dyDescent="0.25">
      <c r="A35">
        <v>33</v>
      </c>
      <c r="B35" t="s">
        <v>61</v>
      </c>
      <c r="C35" t="s">
        <v>370</v>
      </c>
      <c r="D35">
        <v>3</v>
      </c>
      <c r="E35" t="s">
        <v>50</v>
      </c>
      <c r="F35" t="s">
        <v>51</v>
      </c>
      <c r="G35">
        <v>24</v>
      </c>
      <c r="J35">
        <v>0.85</v>
      </c>
      <c r="K35">
        <v>0.85</v>
      </c>
      <c r="L35">
        <f t="shared" si="0"/>
        <v>21.6</v>
      </c>
      <c r="M35">
        <f t="shared" si="1"/>
        <v>31.200000000000003</v>
      </c>
      <c r="N35" s="5">
        <v>1</v>
      </c>
    </row>
    <row r="36" spans="1:14" x14ac:dyDescent="0.25">
      <c r="A36">
        <v>34</v>
      </c>
      <c r="B36" t="s">
        <v>62</v>
      </c>
      <c r="C36" t="s">
        <v>63</v>
      </c>
      <c r="D36">
        <v>3</v>
      </c>
      <c r="E36" t="s">
        <v>50</v>
      </c>
      <c r="F36" t="s">
        <v>51</v>
      </c>
      <c r="G36">
        <v>31</v>
      </c>
      <c r="J36">
        <v>0.85</v>
      </c>
      <c r="K36">
        <v>0.85</v>
      </c>
      <c r="L36">
        <f t="shared" si="0"/>
        <v>27.900000000000002</v>
      </c>
      <c r="M36">
        <f t="shared" si="1"/>
        <v>40.300000000000004</v>
      </c>
      <c r="N36" s="5">
        <v>1</v>
      </c>
    </row>
    <row r="37" spans="1:14" x14ac:dyDescent="0.25">
      <c r="A37">
        <v>35</v>
      </c>
      <c r="B37" t="s">
        <v>64</v>
      </c>
      <c r="C37" t="s">
        <v>333</v>
      </c>
      <c r="D37">
        <v>4</v>
      </c>
      <c r="E37" t="s">
        <v>65</v>
      </c>
      <c r="F37" t="s">
        <v>66</v>
      </c>
      <c r="H37">
        <v>38</v>
      </c>
      <c r="I37">
        <v>1</v>
      </c>
      <c r="J37">
        <v>0.85</v>
      </c>
      <c r="L37">
        <f t="shared" si="0"/>
        <v>35.1</v>
      </c>
      <c r="M37">
        <f t="shared" si="1"/>
        <v>50.7</v>
      </c>
      <c r="N37" s="5">
        <v>1</v>
      </c>
    </row>
    <row r="38" spans="1:14" x14ac:dyDescent="0.25">
      <c r="A38">
        <v>36</v>
      </c>
      <c r="B38" t="s">
        <v>67</v>
      </c>
      <c r="C38" t="s">
        <v>371</v>
      </c>
      <c r="D38">
        <v>4</v>
      </c>
      <c r="E38" t="s">
        <v>65</v>
      </c>
      <c r="F38" t="s">
        <v>66</v>
      </c>
      <c r="H38">
        <v>26</v>
      </c>
      <c r="I38">
        <v>11</v>
      </c>
      <c r="J38">
        <v>0.85</v>
      </c>
      <c r="L38">
        <f t="shared" si="0"/>
        <v>33.300000000000004</v>
      </c>
      <c r="M38">
        <f t="shared" si="1"/>
        <v>48.1</v>
      </c>
      <c r="N38" s="5">
        <v>1</v>
      </c>
    </row>
    <row r="39" spans="1:14" x14ac:dyDescent="0.25">
      <c r="A39">
        <v>37</v>
      </c>
      <c r="B39" t="s">
        <v>68</v>
      </c>
      <c r="C39" t="s">
        <v>372</v>
      </c>
      <c r="D39">
        <v>4</v>
      </c>
      <c r="E39" t="s">
        <v>65</v>
      </c>
      <c r="F39" t="s">
        <v>66</v>
      </c>
      <c r="G39">
        <v>7</v>
      </c>
      <c r="J39">
        <v>0.85</v>
      </c>
      <c r="K39">
        <v>0.85</v>
      </c>
      <c r="L39">
        <f t="shared" si="0"/>
        <v>6.3</v>
      </c>
      <c r="M39">
        <f t="shared" si="1"/>
        <v>9.1</v>
      </c>
      <c r="N39" s="5">
        <v>1</v>
      </c>
    </row>
    <row r="40" spans="1:14" x14ac:dyDescent="0.25">
      <c r="A40">
        <v>38</v>
      </c>
      <c r="B40" t="s">
        <v>69</v>
      </c>
      <c r="C40" t="s">
        <v>373</v>
      </c>
      <c r="D40">
        <v>4</v>
      </c>
      <c r="E40" t="s">
        <v>65</v>
      </c>
      <c r="F40" t="s">
        <v>66</v>
      </c>
      <c r="H40">
        <v>11</v>
      </c>
      <c r="I40">
        <v>7</v>
      </c>
      <c r="J40">
        <v>0.85</v>
      </c>
      <c r="L40">
        <f t="shared" si="0"/>
        <v>16.2</v>
      </c>
      <c r="M40">
        <f t="shared" si="1"/>
        <v>23.400000000000002</v>
      </c>
      <c r="N40" s="5">
        <v>1</v>
      </c>
    </row>
    <row r="41" spans="1:14" x14ac:dyDescent="0.25">
      <c r="A41">
        <v>39</v>
      </c>
      <c r="B41" t="s">
        <v>70</v>
      </c>
      <c r="C41" t="s">
        <v>374</v>
      </c>
      <c r="D41">
        <v>4</v>
      </c>
      <c r="E41" t="s">
        <v>65</v>
      </c>
      <c r="F41" t="s">
        <v>66</v>
      </c>
      <c r="G41">
        <v>25</v>
      </c>
      <c r="J41">
        <v>0.85</v>
      </c>
      <c r="K41">
        <v>0.85</v>
      </c>
      <c r="L41">
        <f t="shared" si="0"/>
        <v>22.5</v>
      </c>
      <c r="M41">
        <f t="shared" si="1"/>
        <v>32.5</v>
      </c>
      <c r="N41" s="5">
        <v>1</v>
      </c>
    </row>
    <row r="42" spans="1:14" x14ac:dyDescent="0.25">
      <c r="A42">
        <v>40</v>
      </c>
      <c r="B42" t="s">
        <v>71</v>
      </c>
      <c r="C42" t="s">
        <v>375</v>
      </c>
      <c r="D42">
        <v>4</v>
      </c>
      <c r="E42" t="s">
        <v>65</v>
      </c>
      <c r="F42" t="s">
        <v>66</v>
      </c>
      <c r="H42">
        <v>10</v>
      </c>
      <c r="I42">
        <v>6</v>
      </c>
      <c r="J42">
        <v>0.85</v>
      </c>
      <c r="L42">
        <f t="shared" si="0"/>
        <v>14.4</v>
      </c>
      <c r="M42">
        <f t="shared" si="1"/>
        <v>20.8</v>
      </c>
      <c r="N42" s="5">
        <v>1</v>
      </c>
    </row>
    <row r="43" spans="1:14" x14ac:dyDescent="0.25">
      <c r="A43">
        <v>41</v>
      </c>
      <c r="B43" t="s">
        <v>72</v>
      </c>
      <c r="C43" t="s">
        <v>376</v>
      </c>
      <c r="D43">
        <v>4</v>
      </c>
      <c r="E43" t="s">
        <v>65</v>
      </c>
      <c r="F43" t="s">
        <v>66</v>
      </c>
      <c r="G43">
        <v>1</v>
      </c>
      <c r="J43">
        <v>0.85</v>
      </c>
      <c r="K43">
        <v>0.85</v>
      </c>
      <c r="L43">
        <f t="shared" si="0"/>
        <v>0.9</v>
      </c>
      <c r="M43">
        <f t="shared" si="1"/>
        <v>1.3</v>
      </c>
      <c r="N43" s="5">
        <v>1</v>
      </c>
    </row>
    <row r="44" spans="1:14" x14ac:dyDescent="0.25">
      <c r="A44">
        <v>42</v>
      </c>
      <c r="B44" t="s">
        <v>73</v>
      </c>
      <c r="C44" t="s">
        <v>377</v>
      </c>
      <c r="D44">
        <v>4</v>
      </c>
      <c r="E44" t="s">
        <v>65</v>
      </c>
      <c r="F44" t="s">
        <v>66</v>
      </c>
      <c r="G44">
        <v>17</v>
      </c>
      <c r="J44">
        <v>0.85</v>
      </c>
      <c r="K44">
        <v>0.85</v>
      </c>
      <c r="L44">
        <f t="shared" si="0"/>
        <v>15.3</v>
      </c>
      <c r="M44">
        <f t="shared" si="1"/>
        <v>22.1</v>
      </c>
      <c r="N44" s="5">
        <v>1</v>
      </c>
    </row>
    <row r="45" spans="1:14" x14ac:dyDescent="0.25">
      <c r="A45">
        <v>43</v>
      </c>
      <c r="B45" t="s">
        <v>74</v>
      </c>
      <c r="C45" t="s">
        <v>378</v>
      </c>
      <c r="D45">
        <v>4</v>
      </c>
      <c r="E45" t="s">
        <v>65</v>
      </c>
      <c r="F45" t="s">
        <v>66</v>
      </c>
      <c r="H45">
        <v>23</v>
      </c>
      <c r="I45">
        <v>1</v>
      </c>
      <c r="J45">
        <v>0.85</v>
      </c>
      <c r="L45">
        <f t="shared" si="0"/>
        <v>21.6</v>
      </c>
      <c r="M45">
        <f t="shared" si="1"/>
        <v>31.200000000000003</v>
      </c>
      <c r="N45" s="5">
        <v>1</v>
      </c>
    </row>
    <row r="46" spans="1:14" x14ac:dyDescent="0.25">
      <c r="A46">
        <v>44</v>
      </c>
      <c r="B46" t="s">
        <v>75</v>
      </c>
      <c r="C46" t="s">
        <v>379</v>
      </c>
      <c r="D46">
        <v>4</v>
      </c>
      <c r="E46" t="s">
        <v>65</v>
      </c>
      <c r="F46" t="s">
        <v>66</v>
      </c>
      <c r="H46">
        <v>11</v>
      </c>
      <c r="I46">
        <v>11</v>
      </c>
      <c r="J46">
        <v>0.85</v>
      </c>
      <c r="L46">
        <f t="shared" si="0"/>
        <v>19.8</v>
      </c>
      <c r="M46">
        <f t="shared" si="1"/>
        <v>28.6</v>
      </c>
      <c r="N46" s="5">
        <v>1</v>
      </c>
    </row>
    <row r="47" spans="1:14" x14ac:dyDescent="0.25">
      <c r="A47">
        <v>45</v>
      </c>
      <c r="B47" t="s">
        <v>76</v>
      </c>
      <c r="C47" t="s">
        <v>380</v>
      </c>
      <c r="D47">
        <v>4</v>
      </c>
      <c r="E47" t="s">
        <v>65</v>
      </c>
      <c r="F47" t="s">
        <v>66</v>
      </c>
      <c r="G47">
        <v>12</v>
      </c>
      <c r="H47">
        <v>11</v>
      </c>
      <c r="I47">
        <v>1</v>
      </c>
      <c r="J47">
        <v>0.85</v>
      </c>
      <c r="K47">
        <v>0.85</v>
      </c>
      <c r="L47">
        <f t="shared" si="0"/>
        <v>21.6</v>
      </c>
      <c r="M47">
        <f t="shared" si="1"/>
        <v>31.200000000000003</v>
      </c>
      <c r="N47" s="5">
        <v>1</v>
      </c>
    </row>
    <row r="48" spans="1:14" x14ac:dyDescent="0.25">
      <c r="A48">
        <v>46</v>
      </c>
      <c r="B48" t="s">
        <v>77</v>
      </c>
      <c r="C48" t="s">
        <v>361</v>
      </c>
      <c r="D48">
        <v>4</v>
      </c>
      <c r="E48" t="s">
        <v>65</v>
      </c>
      <c r="F48" t="s">
        <v>66</v>
      </c>
      <c r="H48">
        <v>18</v>
      </c>
      <c r="J48">
        <v>0.99</v>
      </c>
      <c r="L48">
        <f t="shared" si="0"/>
        <v>16.2</v>
      </c>
      <c r="M48">
        <f t="shared" si="1"/>
        <v>23.400000000000002</v>
      </c>
      <c r="N48" s="5">
        <v>0.99</v>
      </c>
    </row>
    <row r="49" spans="1:14" x14ac:dyDescent="0.25">
      <c r="A49">
        <v>47</v>
      </c>
      <c r="B49" t="s">
        <v>78</v>
      </c>
      <c r="C49" t="s">
        <v>335</v>
      </c>
      <c r="D49">
        <v>4</v>
      </c>
      <c r="E49" t="s">
        <v>65</v>
      </c>
      <c r="F49" t="s">
        <v>66</v>
      </c>
      <c r="H49">
        <v>35</v>
      </c>
      <c r="I49">
        <v>1</v>
      </c>
      <c r="J49">
        <v>0.85</v>
      </c>
      <c r="L49">
        <f t="shared" si="0"/>
        <v>32.4</v>
      </c>
      <c r="M49">
        <f t="shared" si="1"/>
        <v>46.800000000000004</v>
      </c>
      <c r="N49" s="5">
        <v>1</v>
      </c>
    </row>
    <row r="50" spans="1:14" x14ac:dyDescent="0.25">
      <c r="A50">
        <v>48</v>
      </c>
      <c r="B50" t="s">
        <v>79</v>
      </c>
      <c r="C50" t="s">
        <v>80</v>
      </c>
      <c r="D50">
        <v>4</v>
      </c>
      <c r="E50" t="s">
        <v>65</v>
      </c>
      <c r="F50" t="s">
        <v>66</v>
      </c>
      <c r="H50">
        <v>3</v>
      </c>
      <c r="I50">
        <v>2</v>
      </c>
      <c r="J50">
        <v>0.85</v>
      </c>
      <c r="L50">
        <f t="shared" si="0"/>
        <v>4.5</v>
      </c>
      <c r="M50">
        <f t="shared" si="1"/>
        <v>6.5</v>
      </c>
      <c r="N50" s="5">
        <v>1</v>
      </c>
    </row>
    <row r="51" spans="1:14" x14ac:dyDescent="0.25">
      <c r="A51">
        <v>49</v>
      </c>
      <c r="B51" t="s">
        <v>81</v>
      </c>
      <c r="C51" t="s">
        <v>82</v>
      </c>
      <c r="D51">
        <v>5</v>
      </c>
      <c r="E51" t="s">
        <v>83</v>
      </c>
      <c r="F51" t="s">
        <v>84</v>
      </c>
      <c r="H51">
        <v>5</v>
      </c>
      <c r="I51">
        <v>2</v>
      </c>
      <c r="J51">
        <v>0.85</v>
      </c>
      <c r="L51">
        <f t="shared" si="0"/>
        <v>6.3</v>
      </c>
      <c r="M51">
        <f t="shared" si="1"/>
        <v>9.1</v>
      </c>
      <c r="N51" s="5">
        <v>1</v>
      </c>
    </row>
    <row r="52" spans="1:14" x14ac:dyDescent="0.25">
      <c r="A52">
        <v>50</v>
      </c>
      <c r="B52" t="s">
        <v>85</v>
      </c>
      <c r="C52" t="s">
        <v>431</v>
      </c>
      <c r="D52">
        <v>5</v>
      </c>
      <c r="E52" t="s">
        <v>83</v>
      </c>
      <c r="F52" t="s">
        <v>84</v>
      </c>
      <c r="G52">
        <v>1</v>
      </c>
      <c r="J52">
        <v>0.85</v>
      </c>
      <c r="K52">
        <v>0.85</v>
      </c>
      <c r="L52">
        <f t="shared" si="0"/>
        <v>0.9</v>
      </c>
      <c r="M52">
        <f t="shared" si="1"/>
        <v>1.3</v>
      </c>
      <c r="N52" s="5">
        <v>1</v>
      </c>
    </row>
    <row r="53" spans="1:14" x14ac:dyDescent="0.25">
      <c r="A53">
        <v>51</v>
      </c>
      <c r="B53" t="s">
        <v>86</v>
      </c>
      <c r="C53" t="s">
        <v>87</v>
      </c>
      <c r="D53">
        <v>5</v>
      </c>
      <c r="E53" t="s">
        <v>83</v>
      </c>
      <c r="F53" t="s">
        <v>84</v>
      </c>
      <c r="H53">
        <v>14</v>
      </c>
      <c r="I53">
        <v>11</v>
      </c>
      <c r="J53">
        <v>0.85</v>
      </c>
      <c r="L53">
        <f t="shared" si="0"/>
        <v>22.5</v>
      </c>
      <c r="M53">
        <f t="shared" si="1"/>
        <v>32.5</v>
      </c>
      <c r="N53" s="5">
        <v>1</v>
      </c>
    </row>
    <row r="54" spans="1:14" x14ac:dyDescent="0.25">
      <c r="A54">
        <v>52</v>
      </c>
      <c r="B54" t="s">
        <v>88</v>
      </c>
      <c r="C54" t="s">
        <v>432</v>
      </c>
      <c r="D54">
        <v>5</v>
      </c>
      <c r="E54" t="s">
        <v>83</v>
      </c>
      <c r="F54" t="s">
        <v>84</v>
      </c>
      <c r="H54">
        <v>12</v>
      </c>
      <c r="I54">
        <v>8</v>
      </c>
      <c r="J54">
        <v>0.85</v>
      </c>
      <c r="L54">
        <f t="shared" si="0"/>
        <v>18</v>
      </c>
      <c r="M54">
        <f t="shared" si="1"/>
        <v>26</v>
      </c>
      <c r="N54" s="5">
        <v>1</v>
      </c>
    </row>
    <row r="55" spans="1:14" x14ac:dyDescent="0.25">
      <c r="A55">
        <v>53</v>
      </c>
      <c r="B55" t="s">
        <v>89</v>
      </c>
      <c r="C55" t="s">
        <v>433</v>
      </c>
      <c r="D55">
        <v>5</v>
      </c>
      <c r="E55" t="s">
        <v>83</v>
      </c>
      <c r="F55" t="s">
        <v>84</v>
      </c>
      <c r="H55">
        <v>6</v>
      </c>
      <c r="I55">
        <v>2</v>
      </c>
      <c r="J55">
        <v>0.85</v>
      </c>
      <c r="L55">
        <f t="shared" si="0"/>
        <v>7.2</v>
      </c>
      <c r="M55">
        <f t="shared" si="1"/>
        <v>10.4</v>
      </c>
      <c r="N55" s="5">
        <v>1</v>
      </c>
    </row>
    <row r="56" spans="1:14" x14ac:dyDescent="0.25">
      <c r="A56">
        <v>54</v>
      </c>
      <c r="B56" t="s">
        <v>90</v>
      </c>
      <c r="C56" t="s">
        <v>434</v>
      </c>
      <c r="D56">
        <v>5</v>
      </c>
      <c r="E56" t="s">
        <v>83</v>
      </c>
      <c r="F56" t="s">
        <v>84</v>
      </c>
      <c r="H56">
        <v>15</v>
      </c>
      <c r="I56">
        <v>8</v>
      </c>
      <c r="J56">
        <v>0.85</v>
      </c>
      <c r="L56">
        <f t="shared" si="0"/>
        <v>20.7</v>
      </c>
      <c r="M56">
        <f t="shared" si="1"/>
        <v>29.900000000000002</v>
      </c>
      <c r="N56" s="5">
        <v>1</v>
      </c>
    </row>
    <row r="57" spans="1:14" x14ac:dyDescent="0.25">
      <c r="A57">
        <v>55</v>
      </c>
      <c r="B57" t="s">
        <v>91</v>
      </c>
      <c r="C57" t="s">
        <v>435</v>
      </c>
      <c r="D57">
        <v>5</v>
      </c>
      <c r="E57" t="s">
        <v>83</v>
      </c>
      <c r="F57" t="s">
        <v>84</v>
      </c>
      <c r="H57">
        <v>13</v>
      </c>
      <c r="I57">
        <v>4</v>
      </c>
      <c r="J57">
        <v>0.85</v>
      </c>
      <c r="L57">
        <f t="shared" si="0"/>
        <v>15.3</v>
      </c>
      <c r="M57">
        <f t="shared" si="1"/>
        <v>22.1</v>
      </c>
      <c r="N57" s="5">
        <v>1</v>
      </c>
    </row>
    <row r="58" spans="1:14" x14ac:dyDescent="0.25">
      <c r="A58">
        <v>56</v>
      </c>
      <c r="B58" t="s">
        <v>92</v>
      </c>
      <c r="C58" t="s">
        <v>436</v>
      </c>
      <c r="D58">
        <v>5</v>
      </c>
      <c r="E58" t="s">
        <v>83</v>
      </c>
      <c r="F58" t="s">
        <v>84</v>
      </c>
      <c r="H58">
        <v>12</v>
      </c>
      <c r="I58">
        <v>1</v>
      </c>
      <c r="J58">
        <v>0.85</v>
      </c>
      <c r="L58">
        <f t="shared" si="0"/>
        <v>11.700000000000001</v>
      </c>
      <c r="M58">
        <f t="shared" si="1"/>
        <v>16.900000000000002</v>
      </c>
      <c r="N58" s="5">
        <v>1</v>
      </c>
    </row>
    <row r="59" spans="1:14" x14ac:dyDescent="0.25">
      <c r="A59">
        <v>57</v>
      </c>
      <c r="B59" t="s">
        <v>93</v>
      </c>
      <c r="C59" t="s">
        <v>94</v>
      </c>
      <c r="D59">
        <v>5</v>
      </c>
      <c r="E59" t="s">
        <v>83</v>
      </c>
      <c r="F59" t="s">
        <v>84</v>
      </c>
      <c r="H59">
        <v>27</v>
      </c>
      <c r="I59">
        <v>8</v>
      </c>
      <c r="J59">
        <v>0.85</v>
      </c>
      <c r="L59">
        <f t="shared" si="0"/>
        <v>31.5</v>
      </c>
      <c r="M59">
        <f t="shared" si="1"/>
        <v>45.5</v>
      </c>
      <c r="N59" s="5">
        <v>1</v>
      </c>
    </row>
    <row r="60" spans="1:14" x14ac:dyDescent="0.25">
      <c r="A60">
        <v>58</v>
      </c>
      <c r="B60" t="s">
        <v>95</v>
      </c>
      <c r="C60" t="s">
        <v>437</v>
      </c>
      <c r="D60">
        <v>5</v>
      </c>
      <c r="E60" t="s">
        <v>83</v>
      </c>
      <c r="F60" t="s">
        <v>84</v>
      </c>
      <c r="H60">
        <v>28</v>
      </c>
      <c r="I60">
        <v>6</v>
      </c>
      <c r="J60">
        <v>0.85</v>
      </c>
      <c r="L60">
        <f t="shared" si="0"/>
        <v>30.6</v>
      </c>
      <c r="M60">
        <f t="shared" si="1"/>
        <v>44.2</v>
      </c>
      <c r="N60" s="5">
        <v>1</v>
      </c>
    </row>
    <row r="61" spans="1:14" x14ac:dyDescent="0.25">
      <c r="A61">
        <v>59</v>
      </c>
      <c r="B61" t="s">
        <v>96</v>
      </c>
      <c r="C61" t="s">
        <v>439</v>
      </c>
      <c r="D61">
        <v>5</v>
      </c>
      <c r="E61" t="s">
        <v>83</v>
      </c>
      <c r="F61" t="s">
        <v>84</v>
      </c>
      <c r="H61">
        <v>25</v>
      </c>
      <c r="J61">
        <v>0.99</v>
      </c>
      <c r="L61">
        <f t="shared" si="0"/>
        <v>22.5</v>
      </c>
      <c r="M61">
        <f t="shared" si="1"/>
        <v>32.5</v>
      </c>
      <c r="N61" s="5">
        <v>0.99</v>
      </c>
    </row>
    <row r="62" spans="1:14" x14ac:dyDescent="0.25">
      <c r="A62">
        <v>60</v>
      </c>
      <c r="B62" t="s">
        <v>97</v>
      </c>
      <c r="C62" t="s">
        <v>440</v>
      </c>
      <c r="D62">
        <v>5</v>
      </c>
      <c r="E62" t="s">
        <v>83</v>
      </c>
      <c r="F62" t="s">
        <v>84</v>
      </c>
      <c r="H62">
        <v>33</v>
      </c>
      <c r="I62">
        <v>6</v>
      </c>
      <c r="J62">
        <v>0.85</v>
      </c>
      <c r="L62">
        <f t="shared" si="0"/>
        <v>35.1</v>
      </c>
      <c r="M62">
        <f t="shared" si="1"/>
        <v>50.7</v>
      </c>
      <c r="N62" s="5">
        <v>1</v>
      </c>
    </row>
    <row r="63" spans="1:14" x14ac:dyDescent="0.25">
      <c r="A63">
        <v>61</v>
      </c>
      <c r="B63" t="s">
        <v>98</v>
      </c>
      <c r="C63" t="s">
        <v>99</v>
      </c>
      <c r="D63">
        <v>5</v>
      </c>
      <c r="E63" t="s">
        <v>83</v>
      </c>
      <c r="F63" t="s">
        <v>84</v>
      </c>
      <c r="H63">
        <v>5</v>
      </c>
      <c r="I63">
        <v>2</v>
      </c>
      <c r="J63">
        <v>0.85</v>
      </c>
      <c r="L63">
        <f t="shared" si="0"/>
        <v>6.3</v>
      </c>
      <c r="M63">
        <f t="shared" si="1"/>
        <v>9.1</v>
      </c>
      <c r="N63" s="5">
        <v>1</v>
      </c>
    </row>
    <row r="64" spans="1:14" x14ac:dyDescent="0.25">
      <c r="A64">
        <v>62</v>
      </c>
      <c r="B64" t="s">
        <v>100</v>
      </c>
      <c r="C64" t="s">
        <v>101</v>
      </c>
      <c r="D64">
        <v>6</v>
      </c>
      <c r="E64" t="s">
        <v>102</v>
      </c>
      <c r="F64" t="s">
        <v>103</v>
      </c>
      <c r="H64">
        <v>33</v>
      </c>
      <c r="I64">
        <v>4</v>
      </c>
      <c r="J64">
        <v>0.85</v>
      </c>
      <c r="L64">
        <f t="shared" si="0"/>
        <v>33.300000000000004</v>
      </c>
      <c r="M64">
        <f t="shared" si="1"/>
        <v>48.1</v>
      </c>
      <c r="N64" s="5">
        <v>1</v>
      </c>
    </row>
    <row r="65" spans="1:17" x14ac:dyDescent="0.25">
      <c r="A65">
        <v>63</v>
      </c>
      <c r="B65" t="s">
        <v>104</v>
      </c>
      <c r="C65" t="s">
        <v>441</v>
      </c>
      <c r="D65">
        <v>6</v>
      </c>
      <c r="E65" t="s">
        <v>102</v>
      </c>
      <c r="F65" t="s">
        <v>103</v>
      </c>
      <c r="G65">
        <v>24</v>
      </c>
      <c r="J65">
        <v>0.85</v>
      </c>
      <c r="K65">
        <v>0.85</v>
      </c>
      <c r="L65">
        <f t="shared" si="0"/>
        <v>21.6</v>
      </c>
      <c r="M65">
        <f t="shared" si="1"/>
        <v>31.200000000000003</v>
      </c>
      <c r="N65" s="5">
        <v>1</v>
      </c>
    </row>
    <row r="66" spans="1:17" x14ac:dyDescent="0.25">
      <c r="A66">
        <v>64</v>
      </c>
      <c r="B66" t="s">
        <v>105</v>
      </c>
      <c r="C66" t="s">
        <v>106</v>
      </c>
      <c r="D66">
        <v>6</v>
      </c>
      <c r="E66" t="s">
        <v>102</v>
      </c>
      <c r="F66" t="s">
        <v>103</v>
      </c>
      <c r="H66">
        <v>8</v>
      </c>
      <c r="I66">
        <v>6</v>
      </c>
      <c r="J66">
        <v>0.85</v>
      </c>
      <c r="L66">
        <f t="shared" si="0"/>
        <v>12.6</v>
      </c>
      <c r="M66">
        <f t="shared" si="1"/>
        <v>18.2</v>
      </c>
      <c r="N66" s="5">
        <v>1</v>
      </c>
    </row>
    <row r="67" spans="1:17" x14ac:dyDescent="0.25">
      <c r="A67">
        <v>65</v>
      </c>
      <c r="B67" t="s">
        <v>107</v>
      </c>
      <c r="C67" t="s">
        <v>442</v>
      </c>
      <c r="D67">
        <v>6</v>
      </c>
      <c r="E67" t="s">
        <v>102</v>
      </c>
      <c r="F67" t="s">
        <v>103</v>
      </c>
      <c r="H67">
        <v>19</v>
      </c>
      <c r="I67">
        <v>1</v>
      </c>
      <c r="J67">
        <v>0.85</v>
      </c>
      <c r="L67">
        <f t="shared" ref="L67:L81" si="2">SUM(G67:I67)*0.9</f>
        <v>18</v>
      </c>
      <c r="M67">
        <f t="shared" ref="M67:M81" si="3">SUM(G67:I67)*1.3</f>
        <v>26</v>
      </c>
      <c r="N67" s="5">
        <v>1</v>
      </c>
    </row>
    <row r="68" spans="1:17" x14ac:dyDescent="0.25">
      <c r="A68">
        <v>66</v>
      </c>
      <c r="B68" t="s">
        <v>108</v>
      </c>
      <c r="C68" t="s">
        <v>444</v>
      </c>
      <c r="D68">
        <v>6</v>
      </c>
      <c r="E68" t="s">
        <v>102</v>
      </c>
      <c r="F68" t="s">
        <v>103</v>
      </c>
      <c r="H68">
        <v>4</v>
      </c>
      <c r="I68">
        <v>4</v>
      </c>
      <c r="J68">
        <v>0.85</v>
      </c>
      <c r="L68">
        <f t="shared" si="2"/>
        <v>7.2</v>
      </c>
      <c r="M68">
        <f t="shared" si="3"/>
        <v>10.4</v>
      </c>
      <c r="N68" s="5">
        <v>1</v>
      </c>
    </row>
    <row r="69" spans="1:17" x14ac:dyDescent="0.25">
      <c r="A69">
        <v>67</v>
      </c>
      <c r="B69" t="s">
        <v>109</v>
      </c>
      <c r="C69" t="s">
        <v>443</v>
      </c>
      <c r="D69">
        <v>6</v>
      </c>
      <c r="E69" t="s">
        <v>102</v>
      </c>
      <c r="F69" t="s">
        <v>103</v>
      </c>
      <c r="H69">
        <v>19</v>
      </c>
      <c r="I69">
        <v>18</v>
      </c>
      <c r="J69">
        <v>0.85</v>
      </c>
      <c r="L69">
        <f t="shared" si="2"/>
        <v>33.300000000000004</v>
      </c>
      <c r="M69">
        <f t="shared" si="3"/>
        <v>48.1</v>
      </c>
      <c r="N69" s="5">
        <v>1</v>
      </c>
    </row>
    <row r="70" spans="1:17" x14ac:dyDescent="0.25">
      <c r="A70">
        <v>68</v>
      </c>
      <c r="B70" t="s">
        <v>110</v>
      </c>
      <c r="C70" t="s">
        <v>446</v>
      </c>
      <c r="D70">
        <v>6</v>
      </c>
      <c r="E70" t="s">
        <v>102</v>
      </c>
      <c r="F70" t="s">
        <v>103</v>
      </c>
      <c r="H70">
        <v>12</v>
      </c>
      <c r="J70">
        <v>0.99</v>
      </c>
      <c r="L70">
        <f t="shared" si="2"/>
        <v>10.8</v>
      </c>
      <c r="M70">
        <f t="shared" si="3"/>
        <v>15.600000000000001</v>
      </c>
      <c r="N70" s="5">
        <v>0.99</v>
      </c>
    </row>
    <row r="71" spans="1:17" x14ac:dyDescent="0.25">
      <c r="A71">
        <v>69</v>
      </c>
      <c r="B71" t="s">
        <v>111</v>
      </c>
      <c r="C71" t="s">
        <v>445</v>
      </c>
      <c r="D71">
        <v>6</v>
      </c>
      <c r="E71" t="s">
        <v>102</v>
      </c>
      <c r="F71" t="s">
        <v>103</v>
      </c>
      <c r="H71">
        <v>14</v>
      </c>
      <c r="I71">
        <v>7</v>
      </c>
      <c r="J71">
        <v>0.85</v>
      </c>
      <c r="L71">
        <f t="shared" si="2"/>
        <v>18.900000000000002</v>
      </c>
      <c r="M71">
        <f t="shared" si="3"/>
        <v>27.3</v>
      </c>
      <c r="N71" s="5">
        <v>1</v>
      </c>
    </row>
    <row r="72" spans="1:17" x14ac:dyDescent="0.25">
      <c r="A72">
        <v>70</v>
      </c>
      <c r="B72" t="s">
        <v>112</v>
      </c>
      <c r="C72" t="s">
        <v>113</v>
      </c>
      <c r="D72">
        <v>6</v>
      </c>
      <c r="E72" t="s">
        <v>102</v>
      </c>
      <c r="F72" t="s">
        <v>103</v>
      </c>
      <c r="H72">
        <v>16</v>
      </c>
      <c r="I72">
        <v>5</v>
      </c>
      <c r="J72">
        <v>0.85</v>
      </c>
      <c r="L72">
        <f t="shared" si="2"/>
        <v>18.900000000000002</v>
      </c>
      <c r="M72">
        <f t="shared" si="3"/>
        <v>27.3</v>
      </c>
      <c r="N72" s="5">
        <v>1</v>
      </c>
    </row>
    <row r="73" spans="1:17" x14ac:dyDescent="0.25">
      <c r="A73">
        <v>71</v>
      </c>
      <c r="B73" t="s">
        <v>114</v>
      </c>
      <c r="C73" t="s">
        <v>457</v>
      </c>
      <c r="D73">
        <v>7</v>
      </c>
      <c r="E73" t="s">
        <v>115</v>
      </c>
      <c r="F73" t="s">
        <v>454</v>
      </c>
      <c r="G73">
        <v>1</v>
      </c>
      <c r="J73">
        <v>0.85</v>
      </c>
      <c r="K73">
        <v>0.85</v>
      </c>
      <c r="L73">
        <f t="shared" si="2"/>
        <v>0.9</v>
      </c>
      <c r="M73">
        <f t="shared" si="3"/>
        <v>1.3</v>
      </c>
      <c r="N73" s="5">
        <v>1</v>
      </c>
    </row>
    <row r="74" spans="1:17" x14ac:dyDescent="0.25">
      <c r="A74">
        <v>72</v>
      </c>
      <c r="B74" t="s">
        <v>116</v>
      </c>
      <c r="C74" t="s">
        <v>453</v>
      </c>
      <c r="D74">
        <v>7</v>
      </c>
      <c r="E74" t="s">
        <v>115</v>
      </c>
      <c r="F74" t="s">
        <v>454</v>
      </c>
      <c r="H74">
        <v>13</v>
      </c>
      <c r="I74">
        <v>4</v>
      </c>
      <c r="J74">
        <v>0.85</v>
      </c>
      <c r="L74">
        <f t="shared" si="2"/>
        <v>15.3</v>
      </c>
      <c r="M74">
        <f t="shared" si="3"/>
        <v>22.1</v>
      </c>
      <c r="N74" s="5">
        <v>1</v>
      </c>
      <c r="O74">
        <v>6</v>
      </c>
      <c r="Q74" t="s">
        <v>186</v>
      </c>
    </row>
    <row r="75" spans="1:17" x14ac:dyDescent="0.25">
      <c r="A75">
        <v>73</v>
      </c>
      <c r="B75" t="s">
        <v>117</v>
      </c>
      <c r="C75" t="s">
        <v>455</v>
      </c>
      <c r="D75">
        <v>7</v>
      </c>
      <c r="E75" t="s">
        <v>115</v>
      </c>
      <c r="F75" t="s">
        <v>454</v>
      </c>
      <c r="H75">
        <v>7</v>
      </c>
      <c r="I75">
        <v>6</v>
      </c>
      <c r="J75">
        <v>0.85</v>
      </c>
      <c r="L75">
        <f t="shared" si="2"/>
        <v>11.700000000000001</v>
      </c>
      <c r="M75">
        <f t="shared" si="3"/>
        <v>16.900000000000002</v>
      </c>
      <c r="N75" s="5">
        <v>0.99</v>
      </c>
    </row>
    <row r="76" spans="1:17" x14ac:dyDescent="0.25">
      <c r="A76">
        <v>74</v>
      </c>
      <c r="B76" t="s">
        <v>118</v>
      </c>
      <c r="C76" t="s">
        <v>456</v>
      </c>
      <c r="D76">
        <v>7</v>
      </c>
      <c r="E76" t="s">
        <v>115</v>
      </c>
      <c r="F76" t="s">
        <v>454</v>
      </c>
      <c r="H76">
        <v>16</v>
      </c>
      <c r="J76">
        <v>0.85</v>
      </c>
      <c r="L76">
        <f t="shared" si="2"/>
        <v>14.4</v>
      </c>
      <c r="M76">
        <f t="shared" si="3"/>
        <v>20.8</v>
      </c>
      <c r="N76" s="5">
        <v>0.99</v>
      </c>
    </row>
    <row r="77" spans="1:17" x14ac:dyDescent="0.25">
      <c r="A77">
        <v>75</v>
      </c>
      <c r="B77" t="s">
        <v>119</v>
      </c>
      <c r="C77" t="s">
        <v>462</v>
      </c>
      <c r="D77">
        <v>7</v>
      </c>
      <c r="E77" t="s">
        <v>115</v>
      </c>
      <c r="F77" t="s">
        <v>454</v>
      </c>
      <c r="G77">
        <v>27</v>
      </c>
      <c r="J77">
        <v>0.85</v>
      </c>
      <c r="K77">
        <v>0.85</v>
      </c>
      <c r="L77">
        <f t="shared" si="2"/>
        <v>24.3</v>
      </c>
      <c r="M77">
        <f t="shared" si="3"/>
        <v>35.1</v>
      </c>
      <c r="N77" s="5">
        <v>0.99</v>
      </c>
    </row>
    <row r="78" spans="1:17" x14ac:dyDescent="0.25">
      <c r="A78">
        <v>76</v>
      </c>
      <c r="B78" t="s">
        <v>120</v>
      </c>
      <c r="C78" t="s">
        <v>460</v>
      </c>
      <c r="D78">
        <v>8</v>
      </c>
      <c r="E78" t="s">
        <v>124</v>
      </c>
      <c r="F78" t="s">
        <v>463</v>
      </c>
      <c r="G78">
        <v>37</v>
      </c>
      <c r="J78">
        <v>0.85</v>
      </c>
      <c r="K78">
        <v>0.85</v>
      </c>
      <c r="L78">
        <f t="shared" si="2"/>
        <v>33.300000000000004</v>
      </c>
      <c r="M78">
        <f t="shared" si="3"/>
        <v>48.1</v>
      </c>
      <c r="N78" s="5">
        <v>1</v>
      </c>
    </row>
    <row r="79" spans="1:17" x14ac:dyDescent="0.25">
      <c r="A79">
        <v>77</v>
      </c>
      <c r="B79" t="s">
        <v>121</v>
      </c>
      <c r="C79" t="s">
        <v>458</v>
      </c>
      <c r="D79">
        <v>9</v>
      </c>
      <c r="E79" t="s">
        <v>125</v>
      </c>
      <c r="F79" t="s">
        <v>461</v>
      </c>
      <c r="G79">
        <v>24</v>
      </c>
      <c r="J79">
        <v>0.85</v>
      </c>
      <c r="K79">
        <v>0.85</v>
      </c>
      <c r="L79">
        <f t="shared" si="2"/>
        <v>21.6</v>
      </c>
      <c r="M79">
        <f t="shared" si="3"/>
        <v>31.200000000000003</v>
      </c>
      <c r="N79" s="5">
        <v>1</v>
      </c>
    </row>
    <row r="80" spans="1:17" x14ac:dyDescent="0.25">
      <c r="A80">
        <v>78</v>
      </c>
      <c r="B80" t="s">
        <v>122</v>
      </c>
      <c r="C80" t="s">
        <v>459</v>
      </c>
      <c r="D80">
        <v>9</v>
      </c>
      <c r="E80" t="s">
        <v>125</v>
      </c>
      <c r="F80" t="s">
        <v>461</v>
      </c>
      <c r="G80">
        <v>30</v>
      </c>
      <c r="J80">
        <v>0.85</v>
      </c>
      <c r="K80">
        <v>0.85</v>
      </c>
      <c r="L80">
        <f t="shared" si="2"/>
        <v>27</v>
      </c>
      <c r="M80">
        <f t="shared" si="3"/>
        <v>39</v>
      </c>
      <c r="N80" s="5">
        <v>1</v>
      </c>
      <c r="O80">
        <v>2</v>
      </c>
    </row>
    <row r="81" spans="1:14" x14ac:dyDescent="0.25">
      <c r="A81">
        <v>79</v>
      </c>
      <c r="B81" t="s">
        <v>123</v>
      </c>
      <c r="C81" t="s">
        <v>452</v>
      </c>
      <c r="D81">
        <v>10</v>
      </c>
      <c r="E81" t="s">
        <v>126</v>
      </c>
      <c r="F81" t="s">
        <v>127</v>
      </c>
      <c r="G81">
        <v>0</v>
      </c>
      <c r="J81">
        <v>0.85</v>
      </c>
      <c r="K81">
        <v>0.85</v>
      </c>
      <c r="L81">
        <f t="shared" si="2"/>
        <v>0</v>
      </c>
      <c r="M81">
        <f t="shared" si="3"/>
        <v>0</v>
      </c>
      <c r="N81" s="5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8E04-19A8-4E79-81CD-069FB2C95590}">
  <dimension ref="A1:BA82"/>
  <sheetViews>
    <sheetView topLeftCell="N16" zoomScaleNormal="100" workbookViewId="0">
      <selection activeCell="AE24" sqref="AE24"/>
    </sheetView>
  </sheetViews>
  <sheetFormatPr defaultRowHeight="15" x14ac:dyDescent="0.25"/>
  <cols>
    <col min="1" max="1" width="9.85546875" bestFit="1" customWidth="1"/>
    <col min="2" max="2" width="7.5703125" bestFit="1" customWidth="1"/>
    <col min="3" max="3" width="79.140625" bestFit="1" customWidth="1"/>
    <col min="4" max="5" width="12.5703125" bestFit="1" customWidth="1"/>
    <col min="6" max="6" width="16.28515625" bestFit="1" customWidth="1"/>
    <col min="7" max="9" width="12.5703125" bestFit="1" customWidth="1"/>
    <col min="10" max="10" width="21.7109375" bestFit="1" customWidth="1"/>
    <col min="11" max="11" width="19.28515625" bestFit="1" customWidth="1"/>
    <col min="12" max="12" width="12.5703125" bestFit="1" customWidth="1"/>
    <col min="13" max="13" width="15.7109375" bestFit="1" customWidth="1"/>
    <col min="14" max="14" width="15.42578125" bestFit="1" customWidth="1"/>
    <col min="15" max="15" width="19.5703125" bestFit="1" customWidth="1"/>
    <col min="16" max="16" width="16.7109375" bestFit="1" customWidth="1"/>
    <col min="17" max="17" width="18" bestFit="1" customWidth="1"/>
    <col min="18" max="18" width="20.28515625" bestFit="1" customWidth="1"/>
    <col min="19" max="25" width="12.5703125" bestFit="1" customWidth="1"/>
    <col min="26" max="26" width="13.85546875" bestFit="1" customWidth="1"/>
    <col min="27" max="28" width="12.5703125" bestFit="1" customWidth="1"/>
    <col min="29" max="29" width="19.42578125" bestFit="1" customWidth="1"/>
    <col min="30" max="30" width="12.5703125" bestFit="1" customWidth="1"/>
    <col min="31" max="31" width="33.140625" bestFit="1" customWidth="1"/>
    <col min="32" max="53" width="12.5703125" bestFit="1" customWidth="1"/>
  </cols>
  <sheetData>
    <row r="1" spans="1:53" x14ac:dyDescent="0.25">
      <c r="D1" t="s">
        <v>344</v>
      </c>
      <c r="E1" t="s">
        <v>345</v>
      </c>
      <c r="F1" t="s">
        <v>141</v>
      </c>
      <c r="G1" t="s">
        <v>346</v>
      </c>
      <c r="H1" t="s">
        <v>144</v>
      </c>
      <c r="I1" t="s">
        <v>146</v>
      </c>
      <c r="J1" t="s">
        <v>149</v>
      </c>
      <c r="K1" t="s">
        <v>152</v>
      </c>
      <c r="L1" t="s">
        <v>154</v>
      </c>
      <c r="M1" t="s">
        <v>156</v>
      </c>
      <c r="N1" t="s">
        <v>158</v>
      </c>
      <c r="O1" t="s">
        <v>160</v>
      </c>
      <c r="P1" t="s">
        <v>162</v>
      </c>
      <c r="Q1" t="s">
        <v>164</v>
      </c>
      <c r="R1" t="s">
        <v>355</v>
      </c>
      <c r="S1" t="s">
        <v>168</v>
      </c>
      <c r="T1" t="s">
        <v>347</v>
      </c>
      <c r="U1" t="s">
        <v>171</v>
      </c>
      <c r="V1" t="s">
        <v>348</v>
      </c>
      <c r="W1" t="s">
        <v>349</v>
      </c>
      <c r="X1" t="s">
        <v>350</v>
      </c>
      <c r="Y1" t="s">
        <v>351</v>
      </c>
      <c r="Z1" t="s">
        <v>177</v>
      </c>
      <c r="AA1" t="s">
        <v>352</v>
      </c>
      <c r="AB1" t="s">
        <v>353</v>
      </c>
      <c r="AC1" t="s">
        <v>354</v>
      </c>
      <c r="AD1" t="s">
        <v>182</v>
      </c>
      <c r="AE1" t="s">
        <v>184</v>
      </c>
      <c r="AF1" t="s">
        <v>356</v>
      </c>
    </row>
    <row r="2" spans="1:53" x14ac:dyDescent="0.25">
      <c r="A2" s="1" t="s">
        <v>0</v>
      </c>
      <c r="B2" s="1" t="s">
        <v>1</v>
      </c>
      <c r="C2" s="1" t="s">
        <v>324</v>
      </c>
      <c r="D2" s="1" t="s">
        <v>381</v>
      </c>
      <c r="E2" s="1" t="s">
        <v>382</v>
      </c>
      <c r="F2" s="1" t="s">
        <v>383</v>
      </c>
      <c r="G2" s="1" t="s">
        <v>384</v>
      </c>
      <c r="H2" s="1" t="s">
        <v>385</v>
      </c>
      <c r="I2" s="1" t="s">
        <v>386</v>
      </c>
      <c r="J2" s="1" t="s">
        <v>387</v>
      </c>
      <c r="K2" s="1" t="s">
        <v>388</v>
      </c>
      <c r="L2" s="1" t="s">
        <v>389</v>
      </c>
      <c r="M2" s="1" t="s">
        <v>390</v>
      </c>
      <c r="N2" s="1" t="s">
        <v>391</v>
      </c>
      <c r="O2" s="1" t="s">
        <v>392</v>
      </c>
      <c r="P2" s="1" t="s">
        <v>393</v>
      </c>
      <c r="Q2" s="1" t="s">
        <v>394</v>
      </c>
      <c r="R2" s="1" t="s">
        <v>395</v>
      </c>
      <c r="S2" s="1" t="s">
        <v>396</v>
      </c>
      <c r="T2" s="1" t="s">
        <v>397</v>
      </c>
      <c r="U2" s="1" t="s">
        <v>398</v>
      </c>
      <c r="V2" s="1" t="s">
        <v>399</v>
      </c>
      <c r="W2" s="1" t="s">
        <v>400</v>
      </c>
      <c r="X2" s="1" t="s">
        <v>401</v>
      </c>
      <c r="Y2" s="1" t="s">
        <v>402</v>
      </c>
      <c r="Z2" s="1" t="s">
        <v>403</v>
      </c>
      <c r="AA2" s="1" t="s">
        <v>404</v>
      </c>
      <c r="AB2" s="1" t="s">
        <v>405</v>
      </c>
      <c r="AC2" s="1" t="s">
        <v>406</v>
      </c>
      <c r="AD2" s="1" t="s">
        <v>407</v>
      </c>
      <c r="AE2" s="1" t="s">
        <v>408</v>
      </c>
      <c r="AF2" s="1" t="s">
        <v>409</v>
      </c>
      <c r="AG2" s="1" t="s">
        <v>410</v>
      </c>
      <c r="AH2" s="1" t="s">
        <v>411</v>
      </c>
      <c r="AI2" s="1" t="s">
        <v>412</v>
      </c>
      <c r="AJ2" s="1" t="s">
        <v>413</v>
      </c>
      <c r="AK2" s="1" t="s">
        <v>414</v>
      </c>
      <c r="AL2" s="1" t="s">
        <v>415</v>
      </c>
      <c r="AM2" s="1" t="s">
        <v>416</v>
      </c>
      <c r="AN2" s="1" t="s">
        <v>417</v>
      </c>
      <c r="AO2" s="1" t="s">
        <v>418</v>
      </c>
      <c r="AP2" s="1" t="s">
        <v>419</v>
      </c>
      <c r="AQ2" s="1" t="s">
        <v>420</v>
      </c>
      <c r="AR2" s="1" t="s">
        <v>421</v>
      </c>
      <c r="AS2" s="1" t="s">
        <v>422</v>
      </c>
      <c r="AT2" s="1" t="s">
        <v>423</v>
      </c>
      <c r="AU2" s="1" t="s">
        <v>424</v>
      </c>
      <c r="AV2" s="1" t="s">
        <v>425</v>
      </c>
      <c r="AW2" s="1" t="s">
        <v>426</v>
      </c>
      <c r="AX2" s="1" t="s">
        <v>427</v>
      </c>
      <c r="AY2" s="1" t="s">
        <v>428</v>
      </c>
      <c r="AZ2" s="1" t="s">
        <v>429</v>
      </c>
      <c r="BA2" s="1" t="s">
        <v>430</v>
      </c>
    </row>
    <row r="3" spans="1:53" x14ac:dyDescent="0.25">
      <c r="A3">
        <v>0</v>
      </c>
      <c r="B3" t="s">
        <v>16</v>
      </c>
      <c r="C3" t="s">
        <v>325</v>
      </c>
      <c r="E3">
        <v>1</v>
      </c>
    </row>
    <row r="4" spans="1:53" x14ac:dyDescent="0.25">
      <c r="A4">
        <v>1</v>
      </c>
      <c r="B4" t="s">
        <v>19</v>
      </c>
      <c r="C4" t="s">
        <v>20</v>
      </c>
      <c r="E4">
        <v>1</v>
      </c>
      <c r="I4">
        <v>1</v>
      </c>
      <c r="J4">
        <v>1</v>
      </c>
      <c r="AE4">
        <v>1</v>
      </c>
    </row>
    <row r="5" spans="1:53" x14ac:dyDescent="0.25">
      <c r="A5">
        <v>2</v>
      </c>
      <c r="B5" t="s">
        <v>23</v>
      </c>
      <c r="C5" t="s">
        <v>331</v>
      </c>
      <c r="E5">
        <v>1</v>
      </c>
      <c r="I5">
        <v>1</v>
      </c>
      <c r="J5">
        <v>1</v>
      </c>
      <c r="Q5">
        <f>SUM(D5:G5)</f>
        <v>1</v>
      </c>
    </row>
    <row r="6" spans="1:53" x14ac:dyDescent="0.25">
      <c r="A6">
        <v>3</v>
      </c>
      <c r="B6" t="s">
        <v>24</v>
      </c>
      <c r="C6" t="s">
        <v>326</v>
      </c>
      <c r="D6">
        <v>1</v>
      </c>
      <c r="I6">
        <v>1</v>
      </c>
      <c r="J6">
        <v>1</v>
      </c>
      <c r="Q6">
        <f t="shared" ref="Q6:Q69" si="0">SUM(D6:G6)</f>
        <v>1</v>
      </c>
    </row>
    <row r="7" spans="1:53" x14ac:dyDescent="0.25">
      <c r="A7">
        <v>4</v>
      </c>
      <c r="B7" t="s">
        <v>25</v>
      </c>
      <c r="C7" t="s">
        <v>327</v>
      </c>
      <c r="D7">
        <v>1</v>
      </c>
      <c r="I7">
        <v>1</v>
      </c>
      <c r="J7">
        <v>1</v>
      </c>
      <c r="Q7">
        <f t="shared" si="0"/>
        <v>1</v>
      </c>
    </row>
    <row r="8" spans="1:53" x14ac:dyDescent="0.25">
      <c r="A8">
        <v>5</v>
      </c>
      <c r="B8" t="s">
        <v>26</v>
      </c>
      <c r="C8" t="s">
        <v>328</v>
      </c>
      <c r="D8">
        <v>1</v>
      </c>
      <c r="I8">
        <v>1</v>
      </c>
      <c r="J8">
        <v>1</v>
      </c>
      <c r="Q8">
        <f t="shared" si="0"/>
        <v>1</v>
      </c>
    </row>
    <row r="9" spans="1:53" x14ac:dyDescent="0.25">
      <c r="A9">
        <v>6</v>
      </c>
      <c r="B9" t="s">
        <v>27</v>
      </c>
      <c r="C9" t="s">
        <v>329</v>
      </c>
      <c r="D9">
        <v>1</v>
      </c>
      <c r="I9">
        <v>1</v>
      </c>
      <c r="J9">
        <v>1</v>
      </c>
      <c r="Q9">
        <f t="shared" si="0"/>
        <v>1</v>
      </c>
    </row>
    <row r="10" spans="1:53" x14ac:dyDescent="0.25">
      <c r="A10">
        <v>7</v>
      </c>
      <c r="B10" t="s">
        <v>28</v>
      </c>
      <c r="C10" t="s">
        <v>330</v>
      </c>
      <c r="E10">
        <v>1</v>
      </c>
      <c r="I10">
        <v>1</v>
      </c>
      <c r="J10">
        <v>1</v>
      </c>
      <c r="Q10">
        <f t="shared" si="0"/>
        <v>1</v>
      </c>
    </row>
    <row r="11" spans="1:53" x14ac:dyDescent="0.25">
      <c r="A11">
        <v>8</v>
      </c>
      <c r="B11" t="s">
        <v>29</v>
      </c>
      <c r="C11" t="s">
        <v>359</v>
      </c>
      <c r="E11">
        <v>1</v>
      </c>
      <c r="F11">
        <v>1</v>
      </c>
      <c r="I11">
        <v>1</v>
      </c>
      <c r="J11">
        <v>1</v>
      </c>
      <c r="Q11">
        <f t="shared" si="0"/>
        <v>2</v>
      </c>
      <c r="R11">
        <v>1</v>
      </c>
    </row>
    <row r="12" spans="1:53" x14ac:dyDescent="0.25">
      <c r="A12">
        <v>9</v>
      </c>
      <c r="B12" t="s">
        <v>30</v>
      </c>
      <c r="C12" t="s">
        <v>334</v>
      </c>
      <c r="E12">
        <v>1</v>
      </c>
      <c r="I12">
        <v>1</v>
      </c>
      <c r="J12">
        <v>1</v>
      </c>
      <c r="Q12">
        <f t="shared" si="0"/>
        <v>1</v>
      </c>
    </row>
    <row r="13" spans="1:53" x14ac:dyDescent="0.25">
      <c r="A13">
        <v>10</v>
      </c>
      <c r="B13" t="s">
        <v>31</v>
      </c>
      <c r="C13" t="s">
        <v>32</v>
      </c>
      <c r="D13">
        <v>1</v>
      </c>
      <c r="E13">
        <v>1</v>
      </c>
      <c r="I13">
        <v>1</v>
      </c>
      <c r="J13">
        <v>1</v>
      </c>
      <c r="Q13">
        <f t="shared" si="0"/>
        <v>2</v>
      </c>
      <c r="X13">
        <v>1</v>
      </c>
    </row>
    <row r="14" spans="1:53" x14ac:dyDescent="0.25">
      <c r="A14">
        <v>11</v>
      </c>
      <c r="B14" t="s">
        <v>33</v>
      </c>
      <c r="C14" t="s">
        <v>332</v>
      </c>
      <c r="E14">
        <v>1</v>
      </c>
      <c r="I14">
        <v>1</v>
      </c>
      <c r="J14">
        <v>1</v>
      </c>
      <c r="Q14">
        <f t="shared" si="0"/>
        <v>1</v>
      </c>
      <c r="AE14">
        <v>1</v>
      </c>
    </row>
    <row r="15" spans="1:53" x14ac:dyDescent="0.25">
      <c r="A15">
        <v>12</v>
      </c>
      <c r="B15" t="s">
        <v>36</v>
      </c>
      <c r="C15" t="s">
        <v>336</v>
      </c>
      <c r="D15">
        <v>1</v>
      </c>
      <c r="I15">
        <v>1</v>
      </c>
      <c r="J15">
        <v>1</v>
      </c>
      <c r="Q15">
        <f t="shared" si="0"/>
        <v>1</v>
      </c>
    </row>
    <row r="16" spans="1:53" x14ac:dyDescent="0.25">
      <c r="A16">
        <v>13</v>
      </c>
      <c r="B16" t="s">
        <v>37</v>
      </c>
      <c r="C16" t="s">
        <v>337</v>
      </c>
      <c r="D16">
        <v>1</v>
      </c>
      <c r="I16">
        <v>1</v>
      </c>
      <c r="J16">
        <v>1</v>
      </c>
      <c r="Q16">
        <f t="shared" si="0"/>
        <v>1</v>
      </c>
    </row>
    <row r="17" spans="1:31" x14ac:dyDescent="0.25">
      <c r="A17">
        <v>14</v>
      </c>
      <c r="B17" t="s">
        <v>38</v>
      </c>
      <c r="C17" t="s">
        <v>338</v>
      </c>
      <c r="D17">
        <v>1</v>
      </c>
      <c r="I17">
        <v>1</v>
      </c>
      <c r="J17">
        <v>1</v>
      </c>
      <c r="Q17">
        <f t="shared" si="0"/>
        <v>1</v>
      </c>
    </row>
    <row r="18" spans="1:31" x14ac:dyDescent="0.25">
      <c r="A18">
        <v>15</v>
      </c>
      <c r="B18" t="s">
        <v>39</v>
      </c>
      <c r="C18" t="s">
        <v>339</v>
      </c>
      <c r="D18">
        <v>1</v>
      </c>
      <c r="G18">
        <v>1</v>
      </c>
      <c r="I18">
        <v>1</v>
      </c>
      <c r="J18">
        <v>1</v>
      </c>
      <c r="Q18">
        <f t="shared" si="0"/>
        <v>2</v>
      </c>
      <c r="T18">
        <v>1</v>
      </c>
    </row>
    <row r="19" spans="1:31" x14ac:dyDescent="0.25">
      <c r="A19">
        <v>16</v>
      </c>
      <c r="B19" t="s">
        <v>40</v>
      </c>
      <c r="C19" t="s">
        <v>340</v>
      </c>
      <c r="D19">
        <v>1</v>
      </c>
      <c r="I19">
        <v>1</v>
      </c>
      <c r="J19">
        <v>1</v>
      </c>
      <c r="Q19">
        <f t="shared" si="0"/>
        <v>1</v>
      </c>
    </row>
    <row r="20" spans="1:31" x14ac:dyDescent="0.25">
      <c r="A20">
        <v>17</v>
      </c>
      <c r="B20" t="s">
        <v>41</v>
      </c>
      <c r="C20" t="s">
        <v>341</v>
      </c>
      <c r="D20">
        <v>1</v>
      </c>
      <c r="I20">
        <v>1</v>
      </c>
      <c r="J20">
        <v>1</v>
      </c>
      <c r="Q20">
        <f t="shared" si="0"/>
        <v>1</v>
      </c>
      <c r="W20">
        <v>1</v>
      </c>
      <c r="AC20">
        <v>1</v>
      </c>
    </row>
    <row r="21" spans="1:31" x14ac:dyDescent="0.25">
      <c r="A21">
        <v>18</v>
      </c>
      <c r="B21" t="s">
        <v>42</v>
      </c>
      <c r="C21" t="s">
        <v>342</v>
      </c>
      <c r="D21">
        <v>1</v>
      </c>
      <c r="I21">
        <v>1</v>
      </c>
      <c r="J21">
        <v>1</v>
      </c>
      <c r="Q21">
        <f t="shared" si="0"/>
        <v>1</v>
      </c>
    </row>
    <row r="22" spans="1:31" x14ac:dyDescent="0.25">
      <c r="A22">
        <v>19</v>
      </c>
      <c r="B22" t="s">
        <v>43</v>
      </c>
      <c r="C22" t="s">
        <v>343</v>
      </c>
      <c r="D22">
        <v>1</v>
      </c>
      <c r="I22">
        <v>1</v>
      </c>
      <c r="J22">
        <v>1</v>
      </c>
      <c r="Q22">
        <f t="shared" si="0"/>
        <v>1</v>
      </c>
    </row>
    <row r="23" spans="1:31" x14ac:dyDescent="0.25">
      <c r="A23">
        <v>20</v>
      </c>
      <c r="B23" t="s">
        <v>44</v>
      </c>
      <c r="C23" t="s">
        <v>357</v>
      </c>
      <c r="E23">
        <v>1</v>
      </c>
      <c r="I23">
        <v>1</v>
      </c>
      <c r="J23">
        <v>1</v>
      </c>
      <c r="Q23">
        <f t="shared" si="0"/>
        <v>1</v>
      </c>
    </row>
    <row r="24" spans="1:31" x14ac:dyDescent="0.25">
      <c r="A24">
        <v>21</v>
      </c>
      <c r="B24" t="s">
        <v>45</v>
      </c>
      <c r="C24" t="s">
        <v>358</v>
      </c>
      <c r="E24">
        <v>1</v>
      </c>
      <c r="F24">
        <v>1</v>
      </c>
      <c r="I24">
        <v>1</v>
      </c>
      <c r="J24">
        <v>1</v>
      </c>
      <c r="Q24">
        <f t="shared" si="0"/>
        <v>2</v>
      </c>
      <c r="Y24">
        <v>1</v>
      </c>
    </row>
    <row r="25" spans="1:31" x14ac:dyDescent="0.25">
      <c r="A25">
        <v>22</v>
      </c>
      <c r="B25" t="s">
        <v>46</v>
      </c>
      <c r="C25" t="s">
        <v>363</v>
      </c>
      <c r="E25">
        <v>1</v>
      </c>
      <c r="I25">
        <v>1</v>
      </c>
      <c r="J25">
        <v>1</v>
      </c>
      <c r="Q25">
        <f t="shared" si="0"/>
        <v>1</v>
      </c>
      <c r="R25">
        <v>1</v>
      </c>
    </row>
    <row r="26" spans="1:31" x14ac:dyDescent="0.25">
      <c r="A26">
        <v>23</v>
      </c>
      <c r="B26" t="s">
        <v>47</v>
      </c>
      <c r="C26" t="s">
        <v>48</v>
      </c>
      <c r="D26">
        <v>1</v>
      </c>
      <c r="E26">
        <v>1</v>
      </c>
      <c r="I26">
        <v>1</v>
      </c>
      <c r="J26">
        <v>1</v>
      </c>
      <c r="Q26">
        <f t="shared" si="0"/>
        <v>2</v>
      </c>
    </row>
    <row r="27" spans="1:31" x14ac:dyDescent="0.25">
      <c r="A27">
        <v>24</v>
      </c>
      <c r="B27" t="s">
        <v>49</v>
      </c>
      <c r="C27" t="s">
        <v>362</v>
      </c>
      <c r="E27">
        <v>1</v>
      </c>
      <c r="I27">
        <v>1</v>
      </c>
      <c r="J27">
        <v>1</v>
      </c>
      <c r="Q27">
        <f t="shared" si="0"/>
        <v>1</v>
      </c>
      <c r="AE27">
        <v>1</v>
      </c>
    </row>
    <row r="28" spans="1:31" x14ac:dyDescent="0.25">
      <c r="A28">
        <v>25</v>
      </c>
      <c r="B28" t="s">
        <v>52</v>
      </c>
      <c r="C28" t="s">
        <v>53</v>
      </c>
      <c r="E28">
        <v>1</v>
      </c>
      <c r="I28">
        <v>1</v>
      </c>
      <c r="J28">
        <v>1</v>
      </c>
      <c r="Q28">
        <f t="shared" si="0"/>
        <v>1</v>
      </c>
    </row>
    <row r="29" spans="1:31" x14ac:dyDescent="0.25">
      <c r="A29">
        <v>26</v>
      </c>
      <c r="B29" t="s">
        <v>54</v>
      </c>
      <c r="C29" t="s">
        <v>364</v>
      </c>
      <c r="D29">
        <v>1</v>
      </c>
      <c r="I29">
        <v>1</v>
      </c>
      <c r="J29">
        <v>1</v>
      </c>
      <c r="Q29">
        <f t="shared" si="0"/>
        <v>1</v>
      </c>
    </row>
    <row r="30" spans="1:31" x14ac:dyDescent="0.25">
      <c r="A30">
        <v>27</v>
      </c>
      <c r="B30" t="s">
        <v>55</v>
      </c>
      <c r="C30" s="2" t="s">
        <v>365</v>
      </c>
      <c r="D30">
        <v>1</v>
      </c>
      <c r="I30">
        <v>1</v>
      </c>
      <c r="J30">
        <v>1</v>
      </c>
      <c r="Q30">
        <f t="shared" si="0"/>
        <v>1</v>
      </c>
    </row>
    <row r="31" spans="1:31" x14ac:dyDescent="0.25">
      <c r="A31">
        <v>28</v>
      </c>
      <c r="B31" t="s">
        <v>56</v>
      </c>
      <c r="C31" t="s">
        <v>366</v>
      </c>
      <c r="D31">
        <v>1</v>
      </c>
      <c r="I31">
        <v>1</v>
      </c>
      <c r="J31">
        <v>1</v>
      </c>
      <c r="Q31">
        <f t="shared" si="0"/>
        <v>1</v>
      </c>
    </row>
    <row r="32" spans="1:31" x14ac:dyDescent="0.25">
      <c r="A32">
        <v>29</v>
      </c>
      <c r="B32" t="s">
        <v>57</v>
      </c>
      <c r="C32" t="s">
        <v>367</v>
      </c>
      <c r="D32">
        <v>1</v>
      </c>
      <c r="I32">
        <v>1</v>
      </c>
      <c r="J32">
        <v>1</v>
      </c>
      <c r="Q32">
        <f t="shared" si="0"/>
        <v>1</v>
      </c>
    </row>
    <row r="33" spans="1:31" x14ac:dyDescent="0.25">
      <c r="A33">
        <v>30</v>
      </c>
      <c r="B33" t="s">
        <v>58</v>
      </c>
      <c r="C33" t="s">
        <v>368</v>
      </c>
      <c r="D33">
        <v>1</v>
      </c>
      <c r="E33">
        <v>1</v>
      </c>
      <c r="I33">
        <v>1</v>
      </c>
      <c r="J33">
        <v>1</v>
      </c>
      <c r="Q33">
        <f t="shared" si="0"/>
        <v>2</v>
      </c>
      <c r="AA33">
        <v>1</v>
      </c>
    </row>
    <row r="34" spans="1:31" x14ac:dyDescent="0.25">
      <c r="A34">
        <v>31</v>
      </c>
      <c r="B34" t="s">
        <v>59</v>
      </c>
      <c r="C34" t="s">
        <v>369</v>
      </c>
      <c r="E34">
        <v>1</v>
      </c>
      <c r="I34">
        <v>1</v>
      </c>
      <c r="J34">
        <v>1</v>
      </c>
      <c r="Q34">
        <f t="shared" si="0"/>
        <v>1</v>
      </c>
    </row>
    <row r="35" spans="1:31" x14ac:dyDescent="0.25">
      <c r="A35">
        <v>32</v>
      </c>
      <c r="B35" t="s">
        <v>60</v>
      </c>
      <c r="C35" t="s">
        <v>360</v>
      </c>
      <c r="E35">
        <v>1</v>
      </c>
      <c r="F35">
        <v>1</v>
      </c>
      <c r="I35">
        <v>1</v>
      </c>
      <c r="J35">
        <v>1</v>
      </c>
      <c r="Q35">
        <f t="shared" si="0"/>
        <v>2</v>
      </c>
    </row>
    <row r="36" spans="1:31" x14ac:dyDescent="0.25">
      <c r="A36">
        <v>33</v>
      </c>
      <c r="B36" t="s">
        <v>61</v>
      </c>
      <c r="C36" t="s">
        <v>370</v>
      </c>
      <c r="E36">
        <v>1</v>
      </c>
      <c r="I36">
        <v>1</v>
      </c>
      <c r="J36">
        <v>1</v>
      </c>
      <c r="Q36">
        <f t="shared" si="0"/>
        <v>1</v>
      </c>
      <c r="W36">
        <v>1</v>
      </c>
    </row>
    <row r="37" spans="1:31" x14ac:dyDescent="0.25">
      <c r="A37">
        <v>34</v>
      </c>
      <c r="B37" t="s">
        <v>62</v>
      </c>
      <c r="C37" t="s">
        <v>63</v>
      </c>
      <c r="D37">
        <v>1</v>
      </c>
      <c r="E37">
        <v>1</v>
      </c>
      <c r="I37">
        <v>1</v>
      </c>
      <c r="J37">
        <v>1</v>
      </c>
      <c r="Q37">
        <f t="shared" si="0"/>
        <v>2</v>
      </c>
    </row>
    <row r="38" spans="1:31" x14ac:dyDescent="0.25">
      <c r="A38">
        <v>35</v>
      </c>
      <c r="B38" t="s">
        <v>64</v>
      </c>
      <c r="C38" t="s">
        <v>333</v>
      </c>
      <c r="E38">
        <v>1</v>
      </c>
      <c r="I38">
        <v>1</v>
      </c>
      <c r="J38">
        <v>1</v>
      </c>
      <c r="Q38">
        <f t="shared" si="0"/>
        <v>1</v>
      </c>
      <c r="AE38">
        <v>1</v>
      </c>
    </row>
    <row r="39" spans="1:31" x14ac:dyDescent="0.25">
      <c r="A39">
        <v>36</v>
      </c>
      <c r="B39" t="s">
        <v>67</v>
      </c>
      <c r="C39" t="s">
        <v>371</v>
      </c>
      <c r="D39">
        <v>1</v>
      </c>
      <c r="I39">
        <v>1</v>
      </c>
      <c r="J39">
        <v>1</v>
      </c>
      <c r="Q39">
        <f t="shared" si="0"/>
        <v>1</v>
      </c>
    </row>
    <row r="40" spans="1:31" x14ac:dyDescent="0.25">
      <c r="A40">
        <v>37</v>
      </c>
      <c r="B40" t="s">
        <v>68</v>
      </c>
      <c r="C40" t="s">
        <v>372</v>
      </c>
      <c r="D40">
        <v>1</v>
      </c>
      <c r="I40">
        <v>1</v>
      </c>
      <c r="J40">
        <v>1</v>
      </c>
      <c r="Q40">
        <f t="shared" si="0"/>
        <v>1</v>
      </c>
    </row>
    <row r="41" spans="1:31" x14ac:dyDescent="0.25">
      <c r="A41">
        <v>38</v>
      </c>
      <c r="B41" t="s">
        <v>69</v>
      </c>
      <c r="C41" t="s">
        <v>373</v>
      </c>
      <c r="D41">
        <v>1</v>
      </c>
      <c r="I41">
        <v>1</v>
      </c>
      <c r="J41">
        <v>1</v>
      </c>
      <c r="Q41">
        <f t="shared" si="0"/>
        <v>1</v>
      </c>
      <c r="R41">
        <v>1</v>
      </c>
    </row>
    <row r="42" spans="1:31" x14ac:dyDescent="0.25">
      <c r="A42">
        <v>39</v>
      </c>
      <c r="B42" t="s">
        <v>70</v>
      </c>
      <c r="C42" t="s">
        <v>374</v>
      </c>
      <c r="D42">
        <v>1</v>
      </c>
      <c r="G42">
        <v>1</v>
      </c>
      <c r="I42">
        <v>1</v>
      </c>
      <c r="J42">
        <v>1</v>
      </c>
      <c r="Q42">
        <f t="shared" si="0"/>
        <v>2</v>
      </c>
    </row>
    <row r="43" spans="1:31" x14ac:dyDescent="0.25">
      <c r="A43">
        <v>40</v>
      </c>
      <c r="B43" t="s">
        <v>71</v>
      </c>
      <c r="C43" t="s">
        <v>375</v>
      </c>
      <c r="D43">
        <v>1</v>
      </c>
      <c r="I43">
        <v>1</v>
      </c>
      <c r="J43">
        <v>1</v>
      </c>
      <c r="Q43">
        <f t="shared" si="0"/>
        <v>1</v>
      </c>
    </row>
    <row r="44" spans="1:31" x14ac:dyDescent="0.25">
      <c r="A44">
        <v>41</v>
      </c>
      <c r="B44" t="s">
        <v>72</v>
      </c>
      <c r="C44" t="s">
        <v>376</v>
      </c>
      <c r="D44">
        <v>1</v>
      </c>
      <c r="I44">
        <v>1</v>
      </c>
      <c r="J44">
        <v>1</v>
      </c>
      <c r="Q44">
        <f t="shared" si="0"/>
        <v>1</v>
      </c>
    </row>
    <row r="45" spans="1:31" x14ac:dyDescent="0.25">
      <c r="A45">
        <v>42</v>
      </c>
      <c r="B45" t="s">
        <v>73</v>
      </c>
      <c r="C45" t="s">
        <v>377</v>
      </c>
      <c r="D45">
        <v>1</v>
      </c>
      <c r="I45">
        <v>1</v>
      </c>
      <c r="J45">
        <v>1</v>
      </c>
      <c r="Q45">
        <f t="shared" si="0"/>
        <v>1</v>
      </c>
    </row>
    <row r="46" spans="1:31" x14ac:dyDescent="0.25">
      <c r="A46">
        <v>43</v>
      </c>
      <c r="B46" t="s">
        <v>74</v>
      </c>
      <c r="C46" t="s">
        <v>378</v>
      </c>
      <c r="E46">
        <v>1</v>
      </c>
      <c r="I46">
        <v>1</v>
      </c>
      <c r="J46">
        <v>1</v>
      </c>
      <c r="Q46">
        <f t="shared" si="0"/>
        <v>1</v>
      </c>
      <c r="V46">
        <v>1</v>
      </c>
    </row>
    <row r="47" spans="1:31" x14ac:dyDescent="0.25">
      <c r="A47">
        <v>44</v>
      </c>
      <c r="B47" t="s">
        <v>75</v>
      </c>
      <c r="C47" t="s">
        <v>379</v>
      </c>
      <c r="D47">
        <v>1</v>
      </c>
      <c r="I47">
        <v>1</v>
      </c>
      <c r="J47">
        <v>1</v>
      </c>
      <c r="Q47">
        <f t="shared" si="0"/>
        <v>1</v>
      </c>
    </row>
    <row r="48" spans="1:31" x14ac:dyDescent="0.25">
      <c r="A48">
        <v>45</v>
      </c>
      <c r="B48" t="s">
        <v>76</v>
      </c>
      <c r="C48" t="s">
        <v>380</v>
      </c>
      <c r="E48">
        <v>1</v>
      </c>
      <c r="I48">
        <v>1</v>
      </c>
      <c r="J48">
        <v>1</v>
      </c>
      <c r="Q48">
        <f t="shared" si="0"/>
        <v>1</v>
      </c>
      <c r="T48">
        <v>1</v>
      </c>
    </row>
    <row r="49" spans="1:31" x14ac:dyDescent="0.25">
      <c r="A49">
        <v>46</v>
      </c>
      <c r="B49" t="s">
        <v>77</v>
      </c>
      <c r="C49" t="s">
        <v>361</v>
      </c>
      <c r="E49">
        <v>1</v>
      </c>
      <c r="F49">
        <v>1</v>
      </c>
      <c r="I49">
        <v>1</v>
      </c>
      <c r="J49">
        <v>1</v>
      </c>
      <c r="Q49">
        <f t="shared" si="0"/>
        <v>2</v>
      </c>
    </row>
    <row r="50" spans="1:31" x14ac:dyDescent="0.25">
      <c r="A50">
        <v>47</v>
      </c>
      <c r="B50" t="s">
        <v>78</v>
      </c>
      <c r="C50" t="s">
        <v>335</v>
      </c>
      <c r="E50">
        <v>1</v>
      </c>
      <c r="I50">
        <v>1</v>
      </c>
      <c r="J50">
        <v>1</v>
      </c>
      <c r="Q50">
        <f t="shared" si="0"/>
        <v>1</v>
      </c>
    </row>
    <row r="51" spans="1:31" x14ac:dyDescent="0.25">
      <c r="A51">
        <v>48</v>
      </c>
      <c r="B51" t="s">
        <v>79</v>
      </c>
      <c r="C51" t="s">
        <v>80</v>
      </c>
      <c r="D51">
        <v>1</v>
      </c>
      <c r="E51">
        <v>1</v>
      </c>
      <c r="I51">
        <v>1</v>
      </c>
      <c r="J51">
        <v>1</v>
      </c>
      <c r="Q51">
        <f t="shared" si="0"/>
        <v>2</v>
      </c>
      <c r="AB51">
        <v>1</v>
      </c>
    </row>
    <row r="52" spans="1:31" x14ac:dyDescent="0.25">
      <c r="A52">
        <v>49</v>
      </c>
      <c r="B52" t="s">
        <v>81</v>
      </c>
      <c r="C52" t="s">
        <v>82</v>
      </c>
      <c r="E52">
        <v>1</v>
      </c>
      <c r="I52">
        <v>1</v>
      </c>
      <c r="J52">
        <v>1</v>
      </c>
      <c r="Q52">
        <f t="shared" si="0"/>
        <v>1</v>
      </c>
      <c r="AE52">
        <v>1</v>
      </c>
    </row>
    <row r="53" spans="1:31" x14ac:dyDescent="0.25">
      <c r="A53">
        <v>50</v>
      </c>
      <c r="B53" t="s">
        <v>85</v>
      </c>
      <c r="C53" t="s">
        <v>431</v>
      </c>
      <c r="E53">
        <v>1</v>
      </c>
      <c r="I53">
        <v>1</v>
      </c>
      <c r="J53">
        <v>1</v>
      </c>
      <c r="Q53">
        <f t="shared" si="0"/>
        <v>1</v>
      </c>
    </row>
    <row r="54" spans="1:31" x14ac:dyDescent="0.25">
      <c r="A54">
        <v>51</v>
      </c>
      <c r="B54" t="s">
        <v>86</v>
      </c>
      <c r="C54" t="s">
        <v>87</v>
      </c>
      <c r="E54">
        <v>1</v>
      </c>
      <c r="I54">
        <v>1</v>
      </c>
      <c r="J54">
        <v>1</v>
      </c>
      <c r="Q54">
        <f t="shared" si="0"/>
        <v>1</v>
      </c>
      <c r="S54">
        <v>1</v>
      </c>
      <c r="U54">
        <v>1</v>
      </c>
    </row>
    <row r="55" spans="1:31" x14ac:dyDescent="0.25">
      <c r="A55">
        <v>52</v>
      </c>
      <c r="B55" t="s">
        <v>88</v>
      </c>
      <c r="C55" t="s">
        <v>432</v>
      </c>
      <c r="D55">
        <v>1</v>
      </c>
      <c r="I55">
        <v>1</v>
      </c>
      <c r="J55">
        <v>1</v>
      </c>
      <c r="Q55">
        <f t="shared" si="0"/>
        <v>1</v>
      </c>
      <c r="AC55">
        <v>1</v>
      </c>
    </row>
    <row r="56" spans="1:31" x14ac:dyDescent="0.25">
      <c r="A56">
        <v>53</v>
      </c>
      <c r="B56" t="s">
        <v>89</v>
      </c>
      <c r="C56" t="s">
        <v>433</v>
      </c>
      <c r="D56">
        <v>1</v>
      </c>
      <c r="I56">
        <v>1</v>
      </c>
      <c r="J56">
        <v>1</v>
      </c>
      <c r="Q56">
        <f t="shared" si="0"/>
        <v>1</v>
      </c>
    </row>
    <row r="57" spans="1:31" x14ac:dyDescent="0.25">
      <c r="A57">
        <v>54</v>
      </c>
      <c r="B57" t="s">
        <v>90</v>
      </c>
      <c r="C57" t="s">
        <v>434</v>
      </c>
      <c r="D57">
        <v>1</v>
      </c>
      <c r="I57">
        <v>1</v>
      </c>
      <c r="J57">
        <v>1</v>
      </c>
      <c r="Q57">
        <f t="shared" si="0"/>
        <v>1</v>
      </c>
    </row>
    <row r="58" spans="1:31" x14ac:dyDescent="0.25">
      <c r="A58">
        <v>55</v>
      </c>
      <c r="B58" t="s">
        <v>91</v>
      </c>
      <c r="C58" t="s">
        <v>435</v>
      </c>
      <c r="D58">
        <v>1</v>
      </c>
      <c r="G58">
        <v>1</v>
      </c>
      <c r="I58">
        <v>1</v>
      </c>
      <c r="J58">
        <v>1</v>
      </c>
      <c r="Q58">
        <f t="shared" si="0"/>
        <v>2</v>
      </c>
    </row>
    <row r="59" spans="1:31" x14ac:dyDescent="0.25">
      <c r="A59">
        <v>56</v>
      </c>
      <c r="B59" t="s">
        <v>92</v>
      </c>
      <c r="C59" t="s">
        <v>436</v>
      </c>
      <c r="D59">
        <v>1</v>
      </c>
      <c r="I59">
        <v>1</v>
      </c>
      <c r="J59">
        <v>1</v>
      </c>
      <c r="Q59">
        <f t="shared" si="0"/>
        <v>1</v>
      </c>
    </row>
    <row r="60" spans="1:31" x14ac:dyDescent="0.25">
      <c r="A60">
        <v>57</v>
      </c>
      <c r="B60" t="s">
        <v>93</v>
      </c>
      <c r="C60" t="s">
        <v>94</v>
      </c>
      <c r="E60">
        <v>1</v>
      </c>
      <c r="I60">
        <v>1</v>
      </c>
      <c r="J60">
        <v>1</v>
      </c>
      <c r="Q60">
        <f t="shared" si="0"/>
        <v>1</v>
      </c>
    </row>
    <row r="61" spans="1:31" x14ac:dyDescent="0.25">
      <c r="A61">
        <v>58</v>
      </c>
      <c r="B61" t="s">
        <v>95</v>
      </c>
      <c r="C61" t="s">
        <v>437</v>
      </c>
      <c r="D61">
        <v>1</v>
      </c>
      <c r="I61">
        <v>1</v>
      </c>
      <c r="J61">
        <v>1</v>
      </c>
      <c r="Q61">
        <f t="shared" si="0"/>
        <v>1</v>
      </c>
      <c r="Z61">
        <v>1</v>
      </c>
    </row>
    <row r="62" spans="1:31" x14ac:dyDescent="0.25">
      <c r="A62">
        <v>59</v>
      </c>
      <c r="B62" t="s">
        <v>96</v>
      </c>
      <c r="C62" t="s">
        <v>439</v>
      </c>
      <c r="E62">
        <v>1</v>
      </c>
      <c r="F62">
        <v>1</v>
      </c>
      <c r="I62">
        <v>1</v>
      </c>
      <c r="J62">
        <v>1</v>
      </c>
      <c r="Q62">
        <f t="shared" si="0"/>
        <v>2</v>
      </c>
    </row>
    <row r="63" spans="1:31" x14ac:dyDescent="0.25">
      <c r="A63">
        <v>60</v>
      </c>
      <c r="B63" t="s">
        <v>97</v>
      </c>
      <c r="C63" t="s">
        <v>440</v>
      </c>
      <c r="E63">
        <v>1</v>
      </c>
      <c r="I63">
        <v>1</v>
      </c>
      <c r="J63">
        <v>1</v>
      </c>
      <c r="Q63">
        <f t="shared" si="0"/>
        <v>1</v>
      </c>
    </row>
    <row r="64" spans="1:31" x14ac:dyDescent="0.25">
      <c r="A64">
        <v>61</v>
      </c>
      <c r="B64" t="s">
        <v>98</v>
      </c>
      <c r="C64" t="s">
        <v>99</v>
      </c>
      <c r="D64">
        <v>1</v>
      </c>
      <c r="E64">
        <v>1</v>
      </c>
      <c r="I64">
        <v>1</v>
      </c>
      <c r="J64">
        <v>1</v>
      </c>
      <c r="Q64">
        <f t="shared" si="0"/>
        <v>2</v>
      </c>
    </row>
    <row r="65" spans="1:32" x14ac:dyDescent="0.25">
      <c r="A65">
        <v>62</v>
      </c>
      <c r="B65" t="s">
        <v>100</v>
      </c>
      <c r="C65" t="s">
        <v>101</v>
      </c>
      <c r="E65">
        <v>1</v>
      </c>
      <c r="I65">
        <v>1</v>
      </c>
      <c r="J65">
        <v>1</v>
      </c>
      <c r="Q65">
        <f t="shared" si="0"/>
        <v>1</v>
      </c>
      <c r="AE65">
        <v>1</v>
      </c>
    </row>
    <row r="66" spans="1:32" x14ac:dyDescent="0.25">
      <c r="A66">
        <v>63</v>
      </c>
      <c r="B66" t="s">
        <v>104</v>
      </c>
      <c r="C66" t="s">
        <v>441</v>
      </c>
      <c r="E66">
        <v>1</v>
      </c>
      <c r="I66">
        <v>1</v>
      </c>
      <c r="J66">
        <v>1</v>
      </c>
      <c r="Q66">
        <f t="shared" si="0"/>
        <v>1</v>
      </c>
    </row>
    <row r="67" spans="1:32" x14ac:dyDescent="0.25">
      <c r="A67">
        <v>64</v>
      </c>
      <c r="B67" t="s">
        <v>105</v>
      </c>
      <c r="C67" t="s">
        <v>106</v>
      </c>
      <c r="E67">
        <v>1</v>
      </c>
      <c r="I67">
        <v>1</v>
      </c>
      <c r="J67">
        <v>1</v>
      </c>
      <c r="Q67">
        <f t="shared" si="0"/>
        <v>1</v>
      </c>
    </row>
    <row r="68" spans="1:32" x14ac:dyDescent="0.25">
      <c r="A68">
        <v>65</v>
      </c>
      <c r="B68" t="s">
        <v>107</v>
      </c>
      <c r="C68" t="s">
        <v>442</v>
      </c>
      <c r="D68">
        <v>1</v>
      </c>
      <c r="I68">
        <v>1</v>
      </c>
      <c r="J68">
        <v>1</v>
      </c>
      <c r="Q68">
        <f t="shared" si="0"/>
        <v>1</v>
      </c>
    </row>
    <row r="69" spans="1:32" x14ac:dyDescent="0.25">
      <c r="A69">
        <v>66</v>
      </c>
      <c r="B69" t="s">
        <v>108</v>
      </c>
      <c r="C69" t="s">
        <v>444</v>
      </c>
      <c r="D69">
        <v>1</v>
      </c>
      <c r="I69">
        <v>1</v>
      </c>
      <c r="J69">
        <v>1</v>
      </c>
      <c r="Q69">
        <f t="shared" si="0"/>
        <v>1</v>
      </c>
    </row>
    <row r="70" spans="1:32" x14ac:dyDescent="0.25">
      <c r="A70">
        <v>67</v>
      </c>
      <c r="B70" t="s">
        <v>109</v>
      </c>
      <c r="C70" t="s">
        <v>443</v>
      </c>
      <c r="E70">
        <v>1</v>
      </c>
      <c r="I70">
        <v>1</v>
      </c>
      <c r="J70">
        <v>1</v>
      </c>
      <c r="Q70">
        <f t="shared" ref="Q70:Q83" si="1">SUM(D70:G70)</f>
        <v>1</v>
      </c>
    </row>
    <row r="71" spans="1:32" x14ac:dyDescent="0.25">
      <c r="A71">
        <v>68</v>
      </c>
      <c r="B71" t="s">
        <v>110</v>
      </c>
      <c r="C71" t="s">
        <v>446</v>
      </c>
      <c r="E71">
        <v>1</v>
      </c>
      <c r="F71">
        <v>1</v>
      </c>
      <c r="G71">
        <v>1</v>
      </c>
      <c r="I71">
        <v>1</v>
      </c>
      <c r="J71">
        <v>1</v>
      </c>
      <c r="Q71">
        <f t="shared" si="1"/>
        <v>3</v>
      </c>
    </row>
    <row r="72" spans="1:32" x14ac:dyDescent="0.25">
      <c r="A72">
        <v>69</v>
      </c>
      <c r="B72" t="s">
        <v>111</v>
      </c>
      <c r="C72" t="s">
        <v>445</v>
      </c>
      <c r="E72">
        <v>1</v>
      </c>
      <c r="I72">
        <v>1</v>
      </c>
      <c r="J72">
        <v>1</v>
      </c>
    </row>
    <row r="73" spans="1:32" x14ac:dyDescent="0.25">
      <c r="A73">
        <v>70</v>
      </c>
      <c r="B73" t="s">
        <v>112</v>
      </c>
      <c r="C73" t="s">
        <v>113</v>
      </c>
      <c r="D73">
        <v>1</v>
      </c>
      <c r="E73">
        <v>1</v>
      </c>
      <c r="I73">
        <v>1</v>
      </c>
      <c r="J73">
        <v>1</v>
      </c>
    </row>
    <row r="74" spans="1:32" x14ac:dyDescent="0.25">
      <c r="A74">
        <v>71</v>
      </c>
      <c r="B74" t="s">
        <v>114</v>
      </c>
      <c r="C74" t="s">
        <v>457</v>
      </c>
      <c r="E74">
        <v>2</v>
      </c>
      <c r="I74">
        <v>1</v>
      </c>
      <c r="AF74">
        <v>1</v>
      </c>
    </row>
    <row r="75" spans="1:32" x14ac:dyDescent="0.25">
      <c r="A75">
        <v>72</v>
      </c>
      <c r="B75" t="s">
        <v>116</v>
      </c>
      <c r="C75" t="s">
        <v>453</v>
      </c>
      <c r="D75">
        <v>1</v>
      </c>
      <c r="E75">
        <v>1</v>
      </c>
      <c r="I75">
        <v>1</v>
      </c>
    </row>
    <row r="76" spans="1:32" x14ac:dyDescent="0.25">
      <c r="A76">
        <v>73</v>
      </c>
      <c r="B76" t="s">
        <v>117</v>
      </c>
      <c r="C76" t="s">
        <v>455</v>
      </c>
      <c r="D76">
        <v>1</v>
      </c>
      <c r="E76">
        <v>4</v>
      </c>
      <c r="I76">
        <v>1</v>
      </c>
    </row>
    <row r="77" spans="1:32" x14ac:dyDescent="0.25">
      <c r="A77">
        <v>74</v>
      </c>
      <c r="B77" t="s">
        <v>118</v>
      </c>
      <c r="C77" t="s">
        <v>456</v>
      </c>
      <c r="I77">
        <v>1</v>
      </c>
      <c r="N77">
        <v>1</v>
      </c>
      <c r="P77">
        <v>1</v>
      </c>
    </row>
    <row r="78" spans="1:32" x14ac:dyDescent="0.25">
      <c r="A78">
        <v>75</v>
      </c>
      <c r="B78" t="s">
        <v>119</v>
      </c>
      <c r="C78" t="s">
        <v>462</v>
      </c>
      <c r="D78">
        <v>1</v>
      </c>
      <c r="E78">
        <v>1</v>
      </c>
      <c r="F78">
        <v>1</v>
      </c>
      <c r="I78">
        <v>1</v>
      </c>
      <c r="O78">
        <v>1</v>
      </c>
    </row>
    <row r="79" spans="1:32" x14ac:dyDescent="0.25">
      <c r="A79">
        <v>76</v>
      </c>
      <c r="B79" t="s">
        <v>120</v>
      </c>
      <c r="C79" t="s">
        <v>460</v>
      </c>
      <c r="D79">
        <v>1</v>
      </c>
      <c r="E79">
        <v>1</v>
      </c>
      <c r="F79">
        <v>1</v>
      </c>
      <c r="I79">
        <v>1</v>
      </c>
    </row>
    <row r="80" spans="1:32" x14ac:dyDescent="0.25">
      <c r="A80">
        <v>77</v>
      </c>
      <c r="B80" t="s">
        <v>121</v>
      </c>
      <c r="C80" t="s">
        <v>458</v>
      </c>
      <c r="E80">
        <v>3</v>
      </c>
      <c r="H80">
        <v>2</v>
      </c>
      <c r="I80">
        <v>1</v>
      </c>
      <c r="L80">
        <v>1</v>
      </c>
      <c r="M80">
        <v>1</v>
      </c>
    </row>
    <row r="81" spans="1:13" x14ac:dyDescent="0.25">
      <c r="A81">
        <v>78</v>
      </c>
      <c r="B81" t="s">
        <v>122</v>
      </c>
      <c r="C81" t="s">
        <v>459</v>
      </c>
      <c r="E81">
        <v>3</v>
      </c>
      <c r="H81">
        <v>1</v>
      </c>
      <c r="K81">
        <v>1</v>
      </c>
      <c r="M81">
        <v>1</v>
      </c>
    </row>
    <row r="82" spans="1:13" x14ac:dyDescent="0.25">
      <c r="A82">
        <v>79</v>
      </c>
      <c r="B82" t="s">
        <v>123</v>
      </c>
      <c r="C82" t="s">
        <v>452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>
      <selection activeCell="F3" sqref="F3"/>
    </sheetView>
  </sheetViews>
  <sheetFormatPr defaultRowHeight="15" x14ac:dyDescent="0.25"/>
  <cols>
    <col min="1" max="1" width="14.28515625" bestFit="1" customWidth="1"/>
    <col min="2" max="2" width="15.85546875" bestFit="1" customWidth="1"/>
    <col min="3" max="3" width="33.140625" bestFit="1" customWidth="1"/>
    <col min="4" max="4" width="13.5703125" bestFit="1" customWidth="1"/>
    <col min="5" max="5" width="27.140625" bestFit="1" customWidth="1"/>
    <col min="6" max="6" width="23.140625" bestFit="1" customWidth="1"/>
    <col min="7" max="7" width="23.28515625" bestFit="1" customWidth="1"/>
    <col min="8" max="8" width="6" bestFit="1" customWidth="1"/>
  </cols>
  <sheetData>
    <row r="1" spans="1:8" x14ac:dyDescent="0.25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</row>
    <row r="2" spans="1:8" x14ac:dyDescent="0.25">
      <c r="A2">
        <v>0</v>
      </c>
      <c r="B2" t="s">
        <v>136</v>
      </c>
      <c r="C2" t="s">
        <v>344</v>
      </c>
      <c r="D2" t="s">
        <v>137</v>
      </c>
      <c r="E2">
        <v>29</v>
      </c>
      <c r="F2">
        <v>0</v>
      </c>
      <c r="G2">
        <v>0</v>
      </c>
      <c r="H2" t="s">
        <v>138</v>
      </c>
    </row>
    <row r="3" spans="1:8" x14ac:dyDescent="0.25">
      <c r="A3">
        <v>1</v>
      </c>
      <c r="B3" t="s">
        <v>139</v>
      </c>
      <c r="C3" t="s">
        <v>345</v>
      </c>
      <c r="D3" t="s">
        <v>137</v>
      </c>
      <c r="E3">
        <v>61</v>
      </c>
      <c r="F3">
        <v>0</v>
      </c>
      <c r="G3">
        <v>0</v>
      </c>
      <c r="H3" t="s">
        <v>138</v>
      </c>
    </row>
    <row r="4" spans="1:8" x14ac:dyDescent="0.25">
      <c r="A4">
        <v>2</v>
      </c>
      <c r="B4" t="s">
        <v>140</v>
      </c>
      <c r="C4" t="s">
        <v>141</v>
      </c>
      <c r="D4" t="s">
        <v>137</v>
      </c>
      <c r="E4">
        <v>23</v>
      </c>
      <c r="F4">
        <v>0</v>
      </c>
      <c r="G4">
        <v>0</v>
      </c>
      <c r="H4" t="s">
        <v>138</v>
      </c>
    </row>
    <row r="5" spans="1:8" x14ac:dyDescent="0.25">
      <c r="A5">
        <v>3</v>
      </c>
      <c r="B5" t="s">
        <v>142</v>
      </c>
      <c r="C5" t="s">
        <v>346</v>
      </c>
      <c r="D5" t="s">
        <v>137</v>
      </c>
      <c r="E5">
        <v>12</v>
      </c>
      <c r="F5">
        <v>0</v>
      </c>
      <c r="G5">
        <v>0</v>
      </c>
      <c r="H5" t="s">
        <v>138</v>
      </c>
    </row>
    <row r="6" spans="1:8" x14ac:dyDescent="0.25">
      <c r="A6">
        <v>4</v>
      </c>
      <c r="B6" t="s">
        <v>143</v>
      </c>
      <c r="C6" t="s">
        <v>144</v>
      </c>
      <c r="D6" t="s">
        <v>137</v>
      </c>
      <c r="E6">
        <v>5</v>
      </c>
      <c r="F6">
        <v>0</v>
      </c>
      <c r="G6">
        <v>0</v>
      </c>
      <c r="H6" t="s">
        <v>138</v>
      </c>
    </row>
    <row r="7" spans="1:8" x14ac:dyDescent="0.25">
      <c r="A7">
        <v>5</v>
      </c>
      <c r="B7" t="s">
        <v>145</v>
      </c>
      <c r="C7" t="s">
        <v>146</v>
      </c>
      <c r="D7" t="s">
        <v>147</v>
      </c>
      <c r="E7">
        <v>30</v>
      </c>
      <c r="F7">
        <v>0</v>
      </c>
      <c r="G7">
        <v>0</v>
      </c>
      <c r="H7" t="s">
        <v>138</v>
      </c>
    </row>
    <row r="8" spans="1:8" x14ac:dyDescent="0.25">
      <c r="A8">
        <v>6</v>
      </c>
      <c r="B8" t="s">
        <v>148</v>
      </c>
      <c r="C8" t="s">
        <v>149</v>
      </c>
      <c r="D8" t="s">
        <v>150</v>
      </c>
      <c r="E8">
        <v>12</v>
      </c>
      <c r="F8">
        <v>0</v>
      </c>
      <c r="G8">
        <v>0</v>
      </c>
      <c r="H8" t="s">
        <v>138</v>
      </c>
    </row>
    <row r="9" spans="1:8" x14ac:dyDescent="0.25">
      <c r="A9">
        <v>7</v>
      </c>
      <c r="B9" t="s">
        <v>151</v>
      </c>
      <c r="C9" t="s">
        <v>152</v>
      </c>
      <c r="D9" t="s">
        <v>150</v>
      </c>
      <c r="E9">
        <v>1</v>
      </c>
      <c r="F9">
        <v>0</v>
      </c>
      <c r="G9">
        <v>0</v>
      </c>
      <c r="H9" t="s">
        <v>138</v>
      </c>
    </row>
    <row r="10" spans="1:8" x14ac:dyDescent="0.25">
      <c r="A10">
        <v>8</v>
      </c>
      <c r="B10" t="s">
        <v>153</v>
      </c>
      <c r="C10" t="s">
        <v>154</v>
      </c>
      <c r="D10" t="s">
        <v>150</v>
      </c>
      <c r="E10">
        <v>2</v>
      </c>
      <c r="F10">
        <v>0</v>
      </c>
      <c r="G10">
        <v>0</v>
      </c>
      <c r="H10" t="s">
        <v>138</v>
      </c>
    </row>
    <row r="11" spans="1:8" x14ac:dyDescent="0.25">
      <c r="A11">
        <v>9</v>
      </c>
      <c r="B11" t="s">
        <v>155</v>
      </c>
      <c r="C11" t="s">
        <v>156</v>
      </c>
      <c r="D11" t="s">
        <v>150</v>
      </c>
      <c r="E11">
        <v>4</v>
      </c>
      <c r="F11">
        <v>0</v>
      </c>
      <c r="G11">
        <v>0</v>
      </c>
      <c r="H11" t="s">
        <v>138</v>
      </c>
    </row>
    <row r="12" spans="1:8" x14ac:dyDescent="0.25">
      <c r="A12">
        <v>10</v>
      </c>
      <c r="B12" t="s">
        <v>157</v>
      </c>
      <c r="C12" t="s">
        <v>158</v>
      </c>
      <c r="D12" t="s">
        <v>150</v>
      </c>
      <c r="E12">
        <v>4</v>
      </c>
      <c r="F12">
        <v>0</v>
      </c>
      <c r="G12">
        <v>0</v>
      </c>
      <c r="H12" t="s">
        <v>135</v>
      </c>
    </row>
    <row r="13" spans="1:8" x14ac:dyDescent="0.25">
      <c r="A13">
        <v>11</v>
      </c>
      <c r="B13" t="s">
        <v>159</v>
      </c>
      <c r="C13" t="s">
        <v>160</v>
      </c>
      <c r="D13" t="s">
        <v>150</v>
      </c>
      <c r="E13">
        <v>4</v>
      </c>
      <c r="F13">
        <v>0</v>
      </c>
      <c r="G13">
        <v>0</v>
      </c>
      <c r="H13" t="s">
        <v>138</v>
      </c>
    </row>
    <row r="14" spans="1:8" x14ac:dyDescent="0.25">
      <c r="A14">
        <v>12</v>
      </c>
      <c r="B14" t="s">
        <v>161</v>
      </c>
      <c r="C14" t="s">
        <v>162</v>
      </c>
      <c r="D14" t="s">
        <v>150</v>
      </c>
      <c r="E14">
        <v>4</v>
      </c>
      <c r="F14">
        <v>0</v>
      </c>
      <c r="G14">
        <v>0</v>
      </c>
      <c r="H14" t="s">
        <v>138</v>
      </c>
    </row>
    <row r="15" spans="1:8" x14ac:dyDescent="0.25">
      <c r="A15">
        <v>13</v>
      </c>
      <c r="B15" t="s">
        <v>163</v>
      </c>
      <c r="C15" t="s">
        <v>164</v>
      </c>
      <c r="D15" t="s">
        <v>165</v>
      </c>
      <c r="E15">
        <v>18</v>
      </c>
      <c r="F15">
        <v>0</v>
      </c>
      <c r="G15">
        <v>0</v>
      </c>
      <c r="H15" t="s">
        <v>138</v>
      </c>
    </row>
    <row r="16" spans="1:8" x14ac:dyDescent="0.25">
      <c r="A16">
        <v>14</v>
      </c>
      <c r="B16" t="s">
        <v>166</v>
      </c>
      <c r="C16" t="s">
        <v>355</v>
      </c>
      <c r="D16" t="s">
        <v>165</v>
      </c>
      <c r="E16">
        <v>3</v>
      </c>
      <c r="F16">
        <v>0</v>
      </c>
      <c r="G16">
        <v>0</v>
      </c>
      <c r="H16" t="s">
        <v>138</v>
      </c>
    </row>
    <row r="17" spans="1:8" x14ac:dyDescent="0.25">
      <c r="A17">
        <v>15</v>
      </c>
      <c r="B17" t="s">
        <v>167</v>
      </c>
      <c r="C17" t="s">
        <v>168</v>
      </c>
      <c r="D17" t="s">
        <v>165</v>
      </c>
      <c r="E17">
        <v>2</v>
      </c>
      <c r="F17">
        <v>0</v>
      </c>
      <c r="G17">
        <v>0</v>
      </c>
      <c r="H17" t="s">
        <v>138</v>
      </c>
    </row>
    <row r="18" spans="1:8" x14ac:dyDescent="0.25">
      <c r="A18">
        <v>16</v>
      </c>
      <c r="B18" t="s">
        <v>169</v>
      </c>
      <c r="C18" t="s">
        <v>347</v>
      </c>
      <c r="D18" t="s">
        <v>165</v>
      </c>
      <c r="E18">
        <v>3</v>
      </c>
      <c r="F18">
        <v>0</v>
      </c>
      <c r="G18">
        <v>0</v>
      </c>
      <c r="H18" t="s">
        <v>138</v>
      </c>
    </row>
    <row r="19" spans="1:8" x14ac:dyDescent="0.25">
      <c r="A19">
        <v>17</v>
      </c>
      <c r="B19" t="s">
        <v>170</v>
      </c>
      <c r="C19" t="s">
        <v>171</v>
      </c>
      <c r="D19" t="s">
        <v>165</v>
      </c>
      <c r="E19">
        <v>4</v>
      </c>
      <c r="F19">
        <v>0</v>
      </c>
      <c r="G19">
        <v>0</v>
      </c>
      <c r="H19" t="s">
        <v>138</v>
      </c>
    </row>
    <row r="20" spans="1:8" x14ac:dyDescent="0.25">
      <c r="A20">
        <v>18</v>
      </c>
      <c r="B20" t="s">
        <v>172</v>
      </c>
      <c r="C20" t="s">
        <v>348</v>
      </c>
      <c r="D20" t="s">
        <v>165</v>
      </c>
      <c r="E20">
        <v>6</v>
      </c>
      <c r="F20">
        <v>0</v>
      </c>
      <c r="G20">
        <v>0</v>
      </c>
      <c r="H20" t="s">
        <v>138</v>
      </c>
    </row>
    <row r="21" spans="1:8" x14ac:dyDescent="0.25">
      <c r="A21">
        <v>19</v>
      </c>
      <c r="B21" t="s">
        <v>173</v>
      </c>
      <c r="C21" t="s">
        <v>349</v>
      </c>
      <c r="D21" t="s">
        <v>165</v>
      </c>
      <c r="E21">
        <v>6</v>
      </c>
      <c r="F21">
        <v>0</v>
      </c>
      <c r="G21">
        <v>0</v>
      </c>
      <c r="H21" t="s">
        <v>138</v>
      </c>
    </row>
    <row r="22" spans="1:8" x14ac:dyDescent="0.25">
      <c r="A22">
        <v>20</v>
      </c>
      <c r="B22" t="s">
        <v>174</v>
      </c>
      <c r="C22" t="s">
        <v>350</v>
      </c>
      <c r="D22" t="s">
        <v>165</v>
      </c>
      <c r="E22">
        <v>7</v>
      </c>
      <c r="F22">
        <v>0</v>
      </c>
      <c r="G22">
        <v>0</v>
      </c>
      <c r="H22" t="s">
        <v>138</v>
      </c>
    </row>
    <row r="23" spans="1:8" x14ac:dyDescent="0.25">
      <c r="A23">
        <v>21</v>
      </c>
      <c r="B23" t="s">
        <v>175</v>
      </c>
      <c r="C23" t="s">
        <v>351</v>
      </c>
      <c r="D23" t="s">
        <v>165</v>
      </c>
      <c r="E23">
        <v>2</v>
      </c>
      <c r="F23">
        <v>0</v>
      </c>
      <c r="G23">
        <v>0</v>
      </c>
      <c r="H23" t="s">
        <v>138</v>
      </c>
    </row>
    <row r="24" spans="1:8" x14ac:dyDescent="0.25">
      <c r="A24">
        <v>22</v>
      </c>
      <c r="B24" t="s">
        <v>176</v>
      </c>
      <c r="C24" t="s">
        <v>177</v>
      </c>
      <c r="D24" t="s">
        <v>165</v>
      </c>
      <c r="E24">
        <v>1</v>
      </c>
      <c r="F24">
        <v>0</v>
      </c>
      <c r="G24">
        <v>0</v>
      </c>
      <c r="H24" t="s">
        <v>138</v>
      </c>
    </row>
    <row r="25" spans="1:8" x14ac:dyDescent="0.25">
      <c r="A25">
        <v>23</v>
      </c>
      <c r="B25" t="s">
        <v>178</v>
      </c>
      <c r="C25" t="s">
        <v>352</v>
      </c>
      <c r="D25" t="s">
        <v>165</v>
      </c>
      <c r="E25">
        <v>2</v>
      </c>
      <c r="F25">
        <v>0</v>
      </c>
      <c r="G25">
        <v>0</v>
      </c>
      <c r="H25" t="s">
        <v>138</v>
      </c>
    </row>
    <row r="26" spans="1:8" x14ac:dyDescent="0.25">
      <c r="A26">
        <v>24</v>
      </c>
      <c r="B26" t="s">
        <v>179</v>
      </c>
      <c r="C26" t="s">
        <v>353</v>
      </c>
      <c r="D26" t="s">
        <v>165</v>
      </c>
      <c r="E26">
        <v>4</v>
      </c>
      <c r="F26">
        <v>0</v>
      </c>
      <c r="G26">
        <v>0</v>
      </c>
      <c r="H26" t="s">
        <v>138</v>
      </c>
    </row>
    <row r="27" spans="1:8" x14ac:dyDescent="0.25">
      <c r="A27">
        <v>25</v>
      </c>
      <c r="B27" t="s">
        <v>180</v>
      </c>
      <c r="C27" t="s">
        <v>354</v>
      </c>
      <c r="D27" t="s">
        <v>165</v>
      </c>
      <c r="E27">
        <v>6</v>
      </c>
      <c r="F27">
        <v>0</v>
      </c>
      <c r="G27">
        <v>0</v>
      </c>
      <c r="H27" t="s">
        <v>138</v>
      </c>
    </row>
    <row r="28" spans="1:8" x14ac:dyDescent="0.25">
      <c r="A28">
        <v>26</v>
      </c>
      <c r="B28" t="s">
        <v>181</v>
      </c>
      <c r="C28" t="s">
        <v>182</v>
      </c>
      <c r="D28" t="s">
        <v>165</v>
      </c>
      <c r="E28">
        <v>1</v>
      </c>
      <c r="F28">
        <v>0</v>
      </c>
      <c r="G28">
        <v>0</v>
      </c>
      <c r="H28" t="s">
        <v>138</v>
      </c>
    </row>
    <row r="29" spans="1:8" x14ac:dyDescent="0.25">
      <c r="A29">
        <v>27</v>
      </c>
      <c r="B29" t="s">
        <v>183</v>
      </c>
      <c r="C29" t="s">
        <v>184</v>
      </c>
      <c r="D29" t="s">
        <v>185</v>
      </c>
      <c r="E29">
        <v>0</v>
      </c>
      <c r="F29">
        <v>0</v>
      </c>
      <c r="G29">
        <v>0</v>
      </c>
      <c r="H29" t="s">
        <v>138</v>
      </c>
    </row>
    <row r="30" spans="1:8" x14ac:dyDescent="0.25">
      <c r="A30">
        <v>28</v>
      </c>
      <c r="B30" t="s">
        <v>186</v>
      </c>
      <c r="C30" t="s">
        <v>356</v>
      </c>
      <c r="D30" t="s">
        <v>185</v>
      </c>
      <c r="E30">
        <v>0</v>
      </c>
      <c r="F30">
        <v>0</v>
      </c>
      <c r="G30">
        <v>0</v>
      </c>
      <c r="H30" t="s">
        <v>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"/>
  <sheetViews>
    <sheetView tabSelected="1" workbookViewId="0">
      <selection activeCell="K21" sqref="K21"/>
    </sheetView>
  </sheetViews>
  <sheetFormatPr defaultRowHeight="15" x14ac:dyDescent="0.25"/>
  <cols>
    <col min="1" max="1" width="14.7109375" bestFit="1" customWidth="1"/>
    <col min="2" max="2" width="11.5703125" bestFit="1" customWidth="1"/>
    <col min="3" max="3" width="22" bestFit="1" customWidth="1"/>
    <col min="4" max="4" width="19.140625" bestFit="1" customWidth="1"/>
    <col min="5" max="5" width="15.85546875" bestFit="1" customWidth="1"/>
    <col min="6" max="6" width="23.28515625" bestFit="1" customWidth="1"/>
    <col min="7" max="7" width="15.5703125" bestFit="1" customWidth="1"/>
    <col min="8" max="8" width="13.5703125" bestFit="1" customWidth="1"/>
    <col min="9" max="9" width="10.28515625" bestFit="1" customWidth="1"/>
    <col min="10" max="10" width="8.42578125" bestFit="1" customWidth="1"/>
    <col min="11" max="11" width="23" bestFit="1" customWidth="1"/>
    <col min="12" max="12" width="11.140625" bestFit="1" customWidth="1"/>
    <col min="13" max="13" width="15.28515625" bestFit="1" customWidth="1"/>
  </cols>
  <sheetData>
    <row r="1" spans="1:13" x14ac:dyDescent="0.25">
      <c r="A1" s="1" t="s">
        <v>2</v>
      </c>
      <c r="B1" s="1" t="s">
        <v>3</v>
      </c>
      <c r="C1" s="1" t="s">
        <v>4</v>
      </c>
      <c r="D1" s="1" t="s">
        <v>188</v>
      </c>
      <c r="E1" s="1" t="s">
        <v>189</v>
      </c>
      <c r="F1" s="1" t="s">
        <v>190</v>
      </c>
      <c r="G1" s="1" t="s">
        <v>231</v>
      </c>
      <c r="H1" s="1" t="s">
        <v>221</v>
      </c>
      <c r="I1" s="1" t="s">
        <v>222</v>
      </c>
      <c r="J1" s="1" t="s">
        <v>232</v>
      </c>
      <c r="K1" s="1" t="s">
        <v>233</v>
      </c>
      <c r="L1" s="1" t="s">
        <v>234</v>
      </c>
      <c r="M1" s="1" t="s">
        <v>235</v>
      </c>
    </row>
    <row r="2" spans="1:13" x14ac:dyDescent="0.25">
      <c r="A2">
        <v>0</v>
      </c>
      <c r="B2" t="s">
        <v>17</v>
      </c>
      <c r="C2" t="s">
        <v>438</v>
      </c>
      <c r="D2">
        <v>0</v>
      </c>
      <c r="E2" t="s">
        <v>191</v>
      </c>
      <c r="F2" t="s">
        <v>192</v>
      </c>
      <c r="G2">
        <v>1</v>
      </c>
      <c r="H2">
        <v>0</v>
      </c>
      <c r="I2" t="s">
        <v>226</v>
      </c>
      <c r="J2" t="s">
        <v>447</v>
      </c>
      <c r="K2">
        <v>0</v>
      </c>
      <c r="L2">
        <v>0</v>
      </c>
      <c r="M2" t="s">
        <v>138</v>
      </c>
    </row>
    <row r="3" spans="1:13" x14ac:dyDescent="0.25">
      <c r="A3">
        <v>1</v>
      </c>
      <c r="B3" t="s">
        <v>21</v>
      </c>
      <c r="C3" t="s">
        <v>22</v>
      </c>
      <c r="D3">
        <v>0</v>
      </c>
      <c r="E3" t="s">
        <v>191</v>
      </c>
      <c r="F3" t="s">
        <v>200</v>
      </c>
      <c r="G3">
        <v>1</v>
      </c>
      <c r="H3">
        <v>1</v>
      </c>
      <c r="I3" t="s">
        <v>227</v>
      </c>
      <c r="J3" t="s">
        <v>448</v>
      </c>
      <c r="K3">
        <v>0</v>
      </c>
      <c r="L3">
        <v>0</v>
      </c>
      <c r="M3" t="s">
        <v>138</v>
      </c>
    </row>
    <row r="4" spans="1:13" x14ac:dyDescent="0.25">
      <c r="A4">
        <v>2</v>
      </c>
      <c r="B4" t="s">
        <v>34</v>
      </c>
      <c r="C4" t="s">
        <v>35</v>
      </c>
      <c r="D4">
        <v>0</v>
      </c>
      <c r="E4" t="s">
        <v>191</v>
      </c>
      <c r="F4" t="s">
        <v>200</v>
      </c>
      <c r="G4">
        <v>1</v>
      </c>
      <c r="H4">
        <v>1</v>
      </c>
      <c r="I4" t="s">
        <v>227</v>
      </c>
      <c r="J4" t="s">
        <v>448</v>
      </c>
      <c r="K4">
        <v>0</v>
      </c>
      <c r="L4">
        <v>0</v>
      </c>
      <c r="M4" t="s">
        <v>138</v>
      </c>
    </row>
    <row r="5" spans="1:13" x14ac:dyDescent="0.25">
      <c r="A5">
        <v>3</v>
      </c>
      <c r="B5" t="s">
        <v>50</v>
      </c>
      <c r="C5" t="s">
        <v>51</v>
      </c>
      <c r="D5">
        <v>4</v>
      </c>
      <c r="E5" t="s">
        <v>199</v>
      </c>
      <c r="F5" t="s">
        <v>200</v>
      </c>
      <c r="G5">
        <v>4</v>
      </c>
      <c r="H5">
        <v>1</v>
      </c>
      <c r="I5" t="s">
        <v>227</v>
      </c>
      <c r="J5" t="s">
        <v>448</v>
      </c>
      <c r="K5">
        <v>0</v>
      </c>
      <c r="L5">
        <v>0</v>
      </c>
      <c r="M5" t="s">
        <v>138</v>
      </c>
    </row>
    <row r="6" spans="1:13" x14ac:dyDescent="0.25">
      <c r="A6">
        <v>4</v>
      </c>
      <c r="B6" t="s">
        <v>65</v>
      </c>
      <c r="C6" t="s">
        <v>66</v>
      </c>
      <c r="D6">
        <v>4</v>
      </c>
      <c r="E6" t="s">
        <v>199</v>
      </c>
      <c r="F6" t="s">
        <v>200</v>
      </c>
      <c r="G6">
        <v>4</v>
      </c>
      <c r="H6">
        <v>2</v>
      </c>
      <c r="I6" t="s">
        <v>228</v>
      </c>
      <c r="J6" t="s">
        <v>449</v>
      </c>
      <c r="K6">
        <v>0</v>
      </c>
      <c r="L6">
        <v>0</v>
      </c>
      <c r="M6" t="s">
        <v>138</v>
      </c>
    </row>
    <row r="7" spans="1:13" x14ac:dyDescent="0.25">
      <c r="A7">
        <v>5</v>
      </c>
      <c r="B7" t="s">
        <v>83</v>
      </c>
      <c r="C7" t="s">
        <v>84</v>
      </c>
      <c r="D7">
        <v>4</v>
      </c>
      <c r="E7" t="s">
        <v>199</v>
      </c>
      <c r="F7" t="s">
        <v>200</v>
      </c>
      <c r="G7">
        <v>4</v>
      </c>
      <c r="H7">
        <v>2</v>
      </c>
      <c r="I7" t="s">
        <v>228</v>
      </c>
      <c r="J7" t="s">
        <v>449</v>
      </c>
      <c r="K7">
        <v>0</v>
      </c>
      <c r="L7">
        <v>0</v>
      </c>
      <c r="M7" t="s">
        <v>138</v>
      </c>
    </row>
    <row r="8" spans="1:13" x14ac:dyDescent="0.25">
      <c r="A8">
        <v>6</v>
      </c>
      <c r="B8" t="s">
        <v>102</v>
      </c>
      <c r="C8" t="s">
        <v>103</v>
      </c>
      <c r="D8">
        <v>4</v>
      </c>
      <c r="E8" t="s">
        <v>199</v>
      </c>
      <c r="F8" t="s">
        <v>200</v>
      </c>
      <c r="G8">
        <v>4</v>
      </c>
      <c r="H8">
        <v>2</v>
      </c>
      <c r="I8" t="s">
        <v>228</v>
      </c>
      <c r="J8" t="s">
        <v>449</v>
      </c>
      <c r="K8">
        <v>0</v>
      </c>
      <c r="L8">
        <v>0</v>
      </c>
      <c r="M8" t="s">
        <v>138</v>
      </c>
    </row>
    <row r="9" spans="1:13" x14ac:dyDescent="0.25">
      <c r="A9">
        <v>7</v>
      </c>
      <c r="B9" t="s">
        <v>115</v>
      </c>
      <c r="C9" t="s">
        <v>454</v>
      </c>
      <c r="D9">
        <v>6</v>
      </c>
      <c r="E9" t="s">
        <v>203</v>
      </c>
      <c r="F9" t="s">
        <v>204</v>
      </c>
      <c r="G9">
        <v>2</v>
      </c>
      <c r="H9">
        <v>3</v>
      </c>
      <c r="I9" t="s">
        <v>229</v>
      </c>
      <c r="J9" t="s">
        <v>450</v>
      </c>
      <c r="K9">
        <v>0</v>
      </c>
      <c r="L9">
        <v>0</v>
      </c>
      <c r="M9" t="s">
        <v>138</v>
      </c>
    </row>
    <row r="10" spans="1:13" x14ac:dyDescent="0.25">
      <c r="A10">
        <v>8</v>
      </c>
      <c r="B10" t="s">
        <v>124</v>
      </c>
      <c r="C10" t="s">
        <v>463</v>
      </c>
      <c r="D10">
        <v>10</v>
      </c>
      <c r="E10" t="s">
        <v>211</v>
      </c>
      <c r="F10" t="s">
        <v>212</v>
      </c>
      <c r="G10">
        <v>2</v>
      </c>
      <c r="H10">
        <v>4</v>
      </c>
      <c r="I10" t="s">
        <v>230</v>
      </c>
      <c r="J10" t="s">
        <v>451</v>
      </c>
      <c r="K10">
        <v>0</v>
      </c>
      <c r="L10">
        <v>0</v>
      </c>
      <c r="M10" t="s">
        <v>138</v>
      </c>
    </row>
    <row r="11" spans="1:13" x14ac:dyDescent="0.25">
      <c r="A11">
        <v>9</v>
      </c>
      <c r="B11" t="s">
        <v>125</v>
      </c>
      <c r="C11" t="s">
        <v>461</v>
      </c>
      <c r="D11">
        <v>6</v>
      </c>
      <c r="E11" t="s">
        <v>203</v>
      </c>
      <c r="F11" t="s">
        <v>204</v>
      </c>
      <c r="G11">
        <v>1</v>
      </c>
      <c r="H11">
        <v>4</v>
      </c>
      <c r="I11" t="s">
        <v>230</v>
      </c>
      <c r="J11" t="s">
        <v>451</v>
      </c>
      <c r="K11">
        <v>0</v>
      </c>
      <c r="L11">
        <v>0</v>
      </c>
      <c r="M11" t="s">
        <v>138</v>
      </c>
    </row>
    <row r="12" spans="1:13" x14ac:dyDescent="0.25">
      <c r="A12">
        <v>10</v>
      </c>
      <c r="B12" t="s">
        <v>126</v>
      </c>
      <c r="C12" t="s">
        <v>127</v>
      </c>
      <c r="D12">
        <v>13</v>
      </c>
      <c r="E12" t="s">
        <v>217</v>
      </c>
      <c r="F12" t="s">
        <v>218</v>
      </c>
      <c r="G12">
        <v>1</v>
      </c>
      <c r="H12">
        <v>4</v>
      </c>
      <c r="I12" t="s">
        <v>230</v>
      </c>
      <c r="J12" t="s">
        <v>451</v>
      </c>
      <c r="K12">
        <v>0</v>
      </c>
      <c r="L12">
        <v>0</v>
      </c>
      <c r="M12" t="s">
        <v>138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2"/>
  <sheetViews>
    <sheetView workbookViewId="0">
      <selection activeCell="A2" sqref="A2"/>
    </sheetView>
  </sheetViews>
  <sheetFormatPr defaultRowHeight="15" x14ac:dyDescent="0.25"/>
  <cols>
    <col min="1" max="1" width="12.28515625" bestFit="1" customWidth="1"/>
    <col min="2" max="2" width="9.28515625" bestFit="1" customWidth="1"/>
    <col min="3" max="3" width="41.5703125" bestFit="1" customWidth="1"/>
    <col min="4" max="4" width="11.5703125" bestFit="1" customWidth="1"/>
    <col min="5" max="5" width="21.42578125" bestFit="1" customWidth="1"/>
    <col min="6" max="6" width="14.85546875" bestFit="1" customWidth="1"/>
    <col min="7" max="7" width="14.7109375" bestFit="1" customWidth="1"/>
    <col min="8" max="8" width="11.5703125" bestFit="1" customWidth="1"/>
    <col min="9" max="9" width="43.5703125" bestFit="1" customWidth="1"/>
    <col min="10" max="10" width="22" bestFit="1" customWidth="1"/>
    <col min="11" max="11" width="11.140625" bestFit="1" customWidth="1"/>
    <col min="12" max="12" width="6" bestFit="1" customWidth="1"/>
  </cols>
  <sheetData>
    <row r="1" spans="1:12" x14ac:dyDescent="0.25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</v>
      </c>
      <c r="H1" s="1" t="s">
        <v>3</v>
      </c>
      <c r="I1" s="1" t="s">
        <v>4</v>
      </c>
      <c r="J1" s="1" t="s">
        <v>242</v>
      </c>
      <c r="K1" s="1" t="s">
        <v>234</v>
      </c>
      <c r="L1" s="1" t="s">
        <v>135</v>
      </c>
    </row>
    <row r="2" spans="1:12" x14ac:dyDescent="0.25">
      <c r="A2">
        <v>0</v>
      </c>
      <c r="B2" t="s">
        <v>243</v>
      </c>
      <c r="C2" t="s">
        <v>464</v>
      </c>
      <c r="E2" t="s">
        <v>244</v>
      </c>
      <c r="F2">
        <v>1</v>
      </c>
      <c r="G2">
        <v>0</v>
      </c>
      <c r="H2" t="s">
        <v>17</v>
      </c>
      <c r="I2" t="s">
        <v>18</v>
      </c>
      <c r="J2">
        <v>0</v>
      </c>
      <c r="K2">
        <v>0</v>
      </c>
      <c r="L2" t="s">
        <v>138</v>
      </c>
    </row>
    <row r="3" spans="1:12" x14ac:dyDescent="0.25">
      <c r="A3">
        <v>1</v>
      </c>
      <c r="B3" t="s">
        <v>245</v>
      </c>
      <c r="C3" t="s">
        <v>248</v>
      </c>
      <c r="E3" t="s">
        <v>244</v>
      </c>
      <c r="F3">
        <v>1</v>
      </c>
      <c r="G3">
        <v>1</v>
      </c>
      <c r="H3" t="s">
        <v>21</v>
      </c>
      <c r="I3" t="s">
        <v>22</v>
      </c>
      <c r="J3">
        <v>0</v>
      </c>
      <c r="K3">
        <v>0</v>
      </c>
      <c r="L3" t="s">
        <v>138</v>
      </c>
    </row>
    <row r="4" spans="1:12" x14ac:dyDescent="0.25">
      <c r="A4">
        <v>2</v>
      </c>
      <c r="B4" t="s">
        <v>246</v>
      </c>
      <c r="C4" t="s">
        <v>250</v>
      </c>
      <c r="E4" t="s">
        <v>244</v>
      </c>
      <c r="F4">
        <v>1</v>
      </c>
      <c r="G4">
        <v>1</v>
      </c>
      <c r="H4" t="s">
        <v>21</v>
      </c>
      <c r="I4" t="s">
        <v>22</v>
      </c>
      <c r="J4">
        <v>0</v>
      </c>
      <c r="K4">
        <v>0</v>
      </c>
      <c r="L4" t="s">
        <v>138</v>
      </c>
    </row>
    <row r="5" spans="1:12" x14ac:dyDescent="0.25">
      <c r="A5">
        <v>3</v>
      </c>
      <c r="B5" t="s">
        <v>247</v>
      </c>
      <c r="C5" t="s">
        <v>252</v>
      </c>
      <c r="E5" t="s">
        <v>244</v>
      </c>
      <c r="F5">
        <v>1</v>
      </c>
      <c r="G5">
        <v>1</v>
      </c>
      <c r="H5" t="s">
        <v>21</v>
      </c>
      <c r="I5" t="s">
        <v>22</v>
      </c>
      <c r="J5">
        <v>0</v>
      </c>
      <c r="K5">
        <v>0</v>
      </c>
      <c r="L5" t="s">
        <v>138</v>
      </c>
    </row>
    <row r="6" spans="1:12" x14ac:dyDescent="0.25">
      <c r="A6">
        <v>4</v>
      </c>
      <c r="B6" t="s">
        <v>249</v>
      </c>
      <c r="C6" t="s">
        <v>254</v>
      </c>
      <c r="E6" t="s">
        <v>244</v>
      </c>
      <c r="F6">
        <v>1</v>
      </c>
      <c r="G6">
        <v>1</v>
      </c>
      <c r="H6" t="s">
        <v>21</v>
      </c>
      <c r="I6" t="s">
        <v>22</v>
      </c>
      <c r="J6">
        <v>0</v>
      </c>
      <c r="K6">
        <v>0</v>
      </c>
      <c r="L6" t="s">
        <v>138</v>
      </c>
    </row>
    <row r="7" spans="1:12" x14ac:dyDescent="0.25">
      <c r="A7">
        <v>5</v>
      </c>
      <c r="B7" t="s">
        <v>251</v>
      </c>
      <c r="C7" t="s">
        <v>256</v>
      </c>
      <c r="E7" t="s">
        <v>244</v>
      </c>
      <c r="F7">
        <v>1</v>
      </c>
      <c r="G7">
        <v>2</v>
      </c>
      <c r="H7" t="s">
        <v>34</v>
      </c>
      <c r="I7" t="s">
        <v>35</v>
      </c>
      <c r="J7">
        <v>0</v>
      </c>
      <c r="K7">
        <v>0</v>
      </c>
      <c r="L7" t="s">
        <v>138</v>
      </c>
    </row>
    <row r="8" spans="1:12" x14ac:dyDescent="0.25">
      <c r="A8">
        <v>6</v>
      </c>
      <c r="B8" t="s">
        <v>253</v>
      </c>
      <c r="C8" t="s">
        <v>258</v>
      </c>
      <c r="E8" t="s">
        <v>244</v>
      </c>
      <c r="F8">
        <v>1</v>
      </c>
      <c r="G8">
        <v>2</v>
      </c>
      <c r="H8" t="s">
        <v>34</v>
      </c>
      <c r="I8" t="s">
        <v>35</v>
      </c>
      <c r="J8">
        <v>0</v>
      </c>
      <c r="K8">
        <v>0</v>
      </c>
      <c r="L8" t="s">
        <v>138</v>
      </c>
    </row>
    <row r="9" spans="1:12" x14ac:dyDescent="0.25">
      <c r="A9">
        <v>7</v>
      </c>
      <c r="B9" t="s">
        <v>255</v>
      </c>
      <c r="C9" t="s">
        <v>260</v>
      </c>
      <c r="E9" t="s">
        <v>244</v>
      </c>
      <c r="F9">
        <v>1</v>
      </c>
      <c r="G9">
        <v>2</v>
      </c>
      <c r="H9" t="s">
        <v>34</v>
      </c>
      <c r="I9" t="s">
        <v>35</v>
      </c>
      <c r="J9">
        <v>0</v>
      </c>
      <c r="K9">
        <v>0</v>
      </c>
      <c r="L9" t="s">
        <v>138</v>
      </c>
    </row>
    <row r="10" spans="1:12" x14ac:dyDescent="0.25">
      <c r="A10">
        <v>8</v>
      </c>
      <c r="B10" t="s">
        <v>257</v>
      </c>
      <c r="C10" t="s">
        <v>262</v>
      </c>
      <c r="E10" t="s">
        <v>244</v>
      </c>
      <c r="F10">
        <v>1</v>
      </c>
      <c r="G10">
        <v>2</v>
      </c>
      <c r="H10" t="s">
        <v>34</v>
      </c>
      <c r="I10" t="s">
        <v>35</v>
      </c>
      <c r="J10">
        <v>0</v>
      </c>
      <c r="K10">
        <v>0</v>
      </c>
      <c r="L10" t="s">
        <v>138</v>
      </c>
    </row>
    <row r="11" spans="1:12" x14ac:dyDescent="0.25">
      <c r="A11">
        <v>9</v>
      </c>
      <c r="B11" t="s">
        <v>259</v>
      </c>
      <c r="C11" t="s">
        <v>264</v>
      </c>
      <c r="E11" t="s">
        <v>244</v>
      </c>
      <c r="F11">
        <v>1</v>
      </c>
      <c r="G11">
        <v>3</v>
      </c>
      <c r="H11" t="s">
        <v>50</v>
      </c>
      <c r="I11" t="s">
        <v>51</v>
      </c>
      <c r="J11">
        <v>0</v>
      </c>
      <c r="K11">
        <v>0</v>
      </c>
      <c r="L11" t="s">
        <v>138</v>
      </c>
    </row>
    <row r="12" spans="1:12" x14ac:dyDescent="0.25">
      <c r="A12">
        <v>10</v>
      </c>
      <c r="B12" t="s">
        <v>261</v>
      </c>
      <c r="C12" t="s">
        <v>266</v>
      </c>
      <c r="E12" t="s">
        <v>244</v>
      </c>
      <c r="F12">
        <v>1</v>
      </c>
      <c r="G12">
        <v>3</v>
      </c>
      <c r="H12" t="s">
        <v>50</v>
      </c>
      <c r="I12" t="s">
        <v>51</v>
      </c>
      <c r="J12">
        <v>0</v>
      </c>
      <c r="K12">
        <v>0</v>
      </c>
      <c r="L12" t="s">
        <v>138</v>
      </c>
    </row>
    <row r="13" spans="1:12" x14ac:dyDescent="0.25">
      <c r="A13">
        <v>11</v>
      </c>
      <c r="B13" t="s">
        <v>263</v>
      </c>
      <c r="C13" t="s">
        <v>268</v>
      </c>
      <c r="E13" t="s">
        <v>244</v>
      </c>
      <c r="F13">
        <v>1</v>
      </c>
      <c r="G13">
        <v>3</v>
      </c>
      <c r="H13" t="s">
        <v>50</v>
      </c>
      <c r="I13" t="s">
        <v>51</v>
      </c>
      <c r="J13">
        <v>0</v>
      </c>
      <c r="K13">
        <v>0</v>
      </c>
      <c r="L13" t="s">
        <v>138</v>
      </c>
    </row>
    <row r="14" spans="1:12" x14ac:dyDescent="0.25">
      <c r="A14">
        <v>12</v>
      </c>
      <c r="B14" t="s">
        <v>265</v>
      </c>
      <c r="C14" t="s">
        <v>270</v>
      </c>
      <c r="E14" t="s">
        <v>244</v>
      </c>
      <c r="F14">
        <v>1</v>
      </c>
      <c r="G14">
        <v>3</v>
      </c>
      <c r="H14" t="s">
        <v>50</v>
      </c>
      <c r="I14" t="s">
        <v>51</v>
      </c>
      <c r="J14">
        <v>0</v>
      </c>
      <c r="K14">
        <v>0</v>
      </c>
      <c r="L14" t="s">
        <v>138</v>
      </c>
    </row>
    <row r="15" spans="1:12" x14ac:dyDescent="0.25">
      <c r="A15">
        <v>13</v>
      </c>
      <c r="B15" t="s">
        <v>267</v>
      </c>
      <c r="C15" t="s">
        <v>272</v>
      </c>
      <c r="E15" t="s">
        <v>244</v>
      </c>
      <c r="F15">
        <v>1</v>
      </c>
      <c r="G15">
        <v>4</v>
      </c>
      <c r="H15" t="s">
        <v>65</v>
      </c>
      <c r="I15" t="s">
        <v>66</v>
      </c>
      <c r="J15">
        <v>0</v>
      </c>
      <c r="K15">
        <v>0</v>
      </c>
      <c r="L15" t="s">
        <v>138</v>
      </c>
    </row>
    <row r="16" spans="1:12" x14ac:dyDescent="0.25">
      <c r="A16">
        <v>14</v>
      </c>
      <c r="B16" t="s">
        <v>269</v>
      </c>
      <c r="C16" t="s">
        <v>274</v>
      </c>
      <c r="E16" t="s">
        <v>244</v>
      </c>
      <c r="F16">
        <v>1</v>
      </c>
      <c r="G16">
        <v>4</v>
      </c>
      <c r="H16" t="s">
        <v>65</v>
      </c>
      <c r="I16" t="s">
        <v>66</v>
      </c>
      <c r="J16">
        <v>0</v>
      </c>
      <c r="K16">
        <v>0</v>
      </c>
      <c r="L16" t="s">
        <v>138</v>
      </c>
    </row>
    <row r="17" spans="1:12" x14ac:dyDescent="0.25">
      <c r="A17">
        <v>15</v>
      </c>
      <c r="B17" t="s">
        <v>271</v>
      </c>
      <c r="C17" t="s">
        <v>276</v>
      </c>
      <c r="E17" t="s">
        <v>244</v>
      </c>
      <c r="F17">
        <v>1</v>
      </c>
      <c r="G17">
        <v>4</v>
      </c>
      <c r="H17" t="s">
        <v>65</v>
      </c>
      <c r="I17" t="s">
        <v>66</v>
      </c>
      <c r="J17">
        <v>0</v>
      </c>
      <c r="K17">
        <v>0</v>
      </c>
      <c r="L17" t="s">
        <v>138</v>
      </c>
    </row>
    <row r="18" spans="1:12" x14ac:dyDescent="0.25">
      <c r="A18">
        <v>16</v>
      </c>
      <c r="B18" t="s">
        <v>273</v>
      </c>
      <c r="C18" t="s">
        <v>278</v>
      </c>
      <c r="E18" t="s">
        <v>244</v>
      </c>
      <c r="F18">
        <v>1</v>
      </c>
      <c r="G18">
        <v>4</v>
      </c>
      <c r="H18" t="s">
        <v>65</v>
      </c>
      <c r="I18" t="s">
        <v>66</v>
      </c>
      <c r="J18">
        <v>0</v>
      </c>
      <c r="K18">
        <v>0</v>
      </c>
      <c r="L18" t="s">
        <v>138</v>
      </c>
    </row>
    <row r="19" spans="1:12" x14ac:dyDescent="0.25">
      <c r="A19">
        <v>17</v>
      </c>
      <c r="B19" t="s">
        <v>275</v>
      </c>
      <c r="C19" t="s">
        <v>280</v>
      </c>
      <c r="E19" t="s">
        <v>244</v>
      </c>
      <c r="F19">
        <v>1</v>
      </c>
      <c r="G19">
        <v>5</v>
      </c>
      <c r="H19" t="s">
        <v>83</v>
      </c>
      <c r="I19" t="s">
        <v>84</v>
      </c>
      <c r="J19">
        <v>0</v>
      </c>
      <c r="K19">
        <v>0</v>
      </c>
      <c r="L19" t="s">
        <v>138</v>
      </c>
    </row>
    <row r="20" spans="1:12" x14ac:dyDescent="0.25">
      <c r="A20">
        <v>18</v>
      </c>
      <c r="B20" t="s">
        <v>277</v>
      </c>
      <c r="C20" t="s">
        <v>282</v>
      </c>
      <c r="E20" t="s">
        <v>244</v>
      </c>
      <c r="F20">
        <v>1</v>
      </c>
      <c r="G20">
        <v>5</v>
      </c>
      <c r="H20" t="s">
        <v>83</v>
      </c>
      <c r="I20" t="s">
        <v>84</v>
      </c>
      <c r="J20">
        <v>0</v>
      </c>
      <c r="K20">
        <v>0</v>
      </c>
      <c r="L20" t="s">
        <v>138</v>
      </c>
    </row>
    <row r="21" spans="1:12" x14ac:dyDescent="0.25">
      <c r="A21">
        <v>19</v>
      </c>
      <c r="B21" t="s">
        <v>279</v>
      </c>
      <c r="C21" t="s">
        <v>284</v>
      </c>
      <c r="E21" t="s">
        <v>244</v>
      </c>
      <c r="F21">
        <v>1</v>
      </c>
      <c r="G21">
        <v>5</v>
      </c>
      <c r="H21" t="s">
        <v>83</v>
      </c>
      <c r="I21" t="s">
        <v>84</v>
      </c>
      <c r="J21">
        <v>0</v>
      </c>
      <c r="K21">
        <v>0</v>
      </c>
      <c r="L21" t="s">
        <v>138</v>
      </c>
    </row>
    <row r="22" spans="1:12" x14ac:dyDescent="0.25">
      <c r="A22">
        <v>20</v>
      </c>
      <c r="B22" t="s">
        <v>281</v>
      </c>
      <c r="C22" t="s">
        <v>286</v>
      </c>
      <c r="E22" t="s">
        <v>244</v>
      </c>
      <c r="F22">
        <v>1</v>
      </c>
      <c r="G22">
        <v>5</v>
      </c>
      <c r="H22" t="s">
        <v>83</v>
      </c>
      <c r="I22" t="s">
        <v>84</v>
      </c>
      <c r="J22">
        <v>0</v>
      </c>
      <c r="K22">
        <v>0</v>
      </c>
      <c r="L22" t="s">
        <v>138</v>
      </c>
    </row>
    <row r="23" spans="1:12" x14ac:dyDescent="0.25">
      <c r="A23">
        <v>21</v>
      </c>
      <c r="B23" t="s">
        <v>283</v>
      </c>
      <c r="C23" t="s">
        <v>288</v>
      </c>
      <c r="E23" t="s">
        <v>244</v>
      </c>
      <c r="F23">
        <v>1</v>
      </c>
      <c r="G23">
        <v>6</v>
      </c>
      <c r="H23" t="s">
        <v>102</v>
      </c>
      <c r="I23" t="s">
        <v>103</v>
      </c>
      <c r="J23">
        <v>0</v>
      </c>
      <c r="K23">
        <v>0</v>
      </c>
      <c r="L23" t="s">
        <v>138</v>
      </c>
    </row>
    <row r="24" spans="1:12" x14ac:dyDescent="0.25">
      <c r="A24">
        <v>22</v>
      </c>
      <c r="B24" t="s">
        <v>285</v>
      </c>
      <c r="C24" t="s">
        <v>290</v>
      </c>
      <c r="E24" t="s">
        <v>244</v>
      </c>
      <c r="F24">
        <v>1</v>
      </c>
      <c r="G24">
        <v>6</v>
      </c>
      <c r="H24" t="s">
        <v>102</v>
      </c>
      <c r="I24" t="s">
        <v>103</v>
      </c>
      <c r="J24">
        <v>0</v>
      </c>
      <c r="K24">
        <v>0</v>
      </c>
      <c r="L24" t="s">
        <v>138</v>
      </c>
    </row>
    <row r="25" spans="1:12" x14ac:dyDescent="0.25">
      <c r="A25">
        <v>23</v>
      </c>
      <c r="B25" t="s">
        <v>287</v>
      </c>
      <c r="C25" t="s">
        <v>291</v>
      </c>
      <c r="E25" t="s">
        <v>244</v>
      </c>
      <c r="F25">
        <v>1</v>
      </c>
      <c r="G25">
        <v>6</v>
      </c>
      <c r="H25" t="s">
        <v>102</v>
      </c>
      <c r="I25" t="s">
        <v>103</v>
      </c>
      <c r="J25">
        <v>0</v>
      </c>
      <c r="K25">
        <v>0</v>
      </c>
      <c r="L25" t="s">
        <v>138</v>
      </c>
    </row>
    <row r="26" spans="1:12" x14ac:dyDescent="0.25">
      <c r="A26">
        <v>24</v>
      </c>
      <c r="B26" t="s">
        <v>289</v>
      </c>
      <c r="C26" t="s">
        <v>292</v>
      </c>
      <c r="E26" t="s">
        <v>244</v>
      </c>
      <c r="F26">
        <v>1</v>
      </c>
      <c r="G26">
        <v>6</v>
      </c>
      <c r="H26" t="s">
        <v>102</v>
      </c>
      <c r="I26" t="s">
        <v>103</v>
      </c>
      <c r="J26">
        <v>0</v>
      </c>
      <c r="K26">
        <v>0</v>
      </c>
      <c r="L26" t="s">
        <v>138</v>
      </c>
    </row>
    <row r="27" spans="1:12" x14ac:dyDescent="0.25">
      <c r="A27">
        <v>27</v>
      </c>
      <c r="B27" t="s">
        <v>293</v>
      </c>
      <c r="C27" t="s">
        <v>454</v>
      </c>
      <c r="E27" t="s">
        <v>244</v>
      </c>
      <c r="F27">
        <v>1</v>
      </c>
      <c r="G27">
        <v>7</v>
      </c>
      <c r="H27" t="s">
        <v>115</v>
      </c>
      <c r="I27" t="s">
        <v>454</v>
      </c>
      <c r="J27">
        <v>0</v>
      </c>
      <c r="K27">
        <v>0</v>
      </c>
      <c r="L27" t="s">
        <v>138</v>
      </c>
    </row>
    <row r="28" spans="1:12" x14ac:dyDescent="0.25">
      <c r="A28">
        <v>28</v>
      </c>
      <c r="B28" t="s">
        <v>294</v>
      </c>
      <c r="C28" t="s">
        <v>454</v>
      </c>
      <c r="E28" t="s">
        <v>244</v>
      </c>
      <c r="F28">
        <v>1</v>
      </c>
      <c r="G28">
        <v>7</v>
      </c>
      <c r="H28" t="s">
        <v>115</v>
      </c>
      <c r="I28" t="s">
        <v>454</v>
      </c>
      <c r="J28">
        <v>0</v>
      </c>
      <c r="K28">
        <v>0</v>
      </c>
      <c r="L28" t="s">
        <v>138</v>
      </c>
    </row>
    <row r="29" spans="1:12" x14ac:dyDescent="0.25">
      <c r="A29">
        <v>29</v>
      </c>
      <c r="B29" t="s">
        <v>295</v>
      </c>
      <c r="C29" t="s">
        <v>463</v>
      </c>
      <c r="E29" t="s">
        <v>244</v>
      </c>
      <c r="F29">
        <v>1</v>
      </c>
      <c r="G29">
        <v>8</v>
      </c>
      <c r="H29" t="s">
        <v>124</v>
      </c>
      <c r="I29" t="s">
        <v>463</v>
      </c>
      <c r="J29">
        <v>0</v>
      </c>
      <c r="K29">
        <v>0</v>
      </c>
      <c r="L29" t="s">
        <v>138</v>
      </c>
    </row>
    <row r="30" spans="1:12" x14ac:dyDescent="0.25">
      <c r="A30">
        <v>30</v>
      </c>
      <c r="B30" t="s">
        <v>296</v>
      </c>
      <c r="C30" t="s">
        <v>463</v>
      </c>
      <c r="E30" t="s">
        <v>244</v>
      </c>
      <c r="F30">
        <v>1</v>
      </c>
      <c r="G30">
        <v>8</v>
      </c>
      <c r="H30" t="s">
        <v>124</v>
      </c>
      <c r="I30" t="s">
        <v>463</v>
      </c>
      <c r="J30">
        <v>0</v>
      </c>
      <c r="K30">
        <v>0</v>
      </c>
      <c r="L30" t="s">
        <v>138</v>
      </c>
    </row>
    <row r="31" spans="1:12" x14ac:dyDescent="0.25">
      <c r="A31">
        <v>31</v>
      </c>
      <c r="B31" t="s">
        <v>297</v>
      </c>
      <c r="C31" t="s">
        <v>461</v>
      </c>
      <c r="E31" t="s">
        <v>244</v>
      </c>
      <c r="F31">
        <v>1</v>
      </c>
      <c r="G31">
        <v>9</v>
      </c>
      <c r="H31" t="s">
        <v>125</v>
      </c>
      <c r="I31" t="s">
        <v>461</v>
      </c>
      <c r="J31">
        <v>0</v>
      </c>
      <c r="K31">
        <v>0</v>
      </c>
      <c r="L31" t="s">
        <v>138</v>
      </c>
    </row>
    <row r="32" spans="1:12" x14ac:dyDescent="0.25">
      <c r="A32">
        <v>32</v>
      </c>
      <c r="B32" t="s">
        <v>298</v>
      </c>
      <c r="C32" t="s">
        <v>127</v>
      </c>
      <c r="E32" t="s">
        <v>244</v>
      </c>
      <c r="F32">
        <v>1</v>
      </c>
      <c r="G32">
        <v>10</v>
      </c>
      <c r="H32" t="s">
        <v>126</v>
      </c>
      <c r="I32" t="s">
        <v>127</v>
      </c>
      <c r="J32">
        <v>0</v>
      </c>
      <c r="K32">
        <v>0</v>
      </c>
      <c r="L32" t="s">
        <v>138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selection sqref="A1:C2"/>
    </sheetView>
  </sheetViews>
  <sheetFormatPr defaultRowHeight="15" x14ac:dyDescent="0.25"/>
  <cols>
    <col min="1" max="1" width="12.85546875" bestFit="1" customWidth="1"/>
    <col min="2" max="2" width="9.7109375" bestFit="1" customWidth="1"/>
    <col min="3" max="3" width="12" bestFit="1" customWidth="1"/>
  </cols>
  <sheetData>
    <row r="1" spans="1:3" x14ac:dyDescent="0.25">
      <c r="A1" s="1" t="s">
        <v>299</v>
      </c>
      <c r="B1" s="1" t="s">
        <v>300</v>
      </c>
      <c r="C1" s="1" t="s">
        <v>301</v>
      </c>
    </row>
    <row r="2" spans="1:3" x14ac:dyDescent="0.25">
      <c r="A2">
        <v>0</v>
      </c>
      <c r="B2" t="s">
        <v>465</v>
      </c>
      <c r="C2" t="s">
        <v>465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workbookViewId="0">
      <selection activeCell="F16" sqref="F16:F17"/>
    </sheetView>
  </sheetViews>
  <sheetFormatPr defaultRowHeight="15" x14ac:dyDescent="0.25"/>
  <cols>
    <col min="1" max="1" width="11.7109375" bestFit="1" customWidth="1"/>
    <col min="2" max="2" width="8.5703125" bestFit="1" customWidth="1"/>
    <col min="3" max="3" width="10.85546875" bestFit="1" customWidth="1"/>
    <col min="4" max="4" width="12.85546875" bestFit="1" customWidth="1"/>
  </cols>
  <sheetData>
    <row r="1" spans="1:6" x14ac:dyDescent="0.25">
      <c r="A1" s="1" t="s">
        <v>302</v>
      </c>
      <c r="B1" s="1" t="s">
        <v>303</v>
      </c>
      <c r="C1" s="1" t="s">
        <v>304</v>
      </c>
      <c r="D1" s="1" t="s">
        <v>299</v>
      </c>
      <c r="E1" s="1" t="s">
        <v>300</v>
      </c>
      <c r="F1" s="1" t="s">
        <v>301</v>
      </c>
    </row>
    <row r="2" spans="1:6" x14ac:dyDescent="0.25">
      <c r="A2">
        <v>0</v>
      </c>
      <c r="B2" t="s">
        <v>305</v>
      </c>
      <c r="C2" t="s">
        <v>305</v>
      </c>
      <c r="D2">
        <v>0</v>
      </c>
      <c r="E2" t="s">
        <v>465</v>
      </c>
      <c r="F2" t="s">
        <v>465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"/>
  <sheetViews>
    <sheetView workbookViewId="0">
      <selection activeCell="D1" sqref="D1"/>
    </sheetView>
  </sheetViews>
  <sheetFormatPr defaultRowHeight="15" x14ac:dyDescent="0.25"/>
  <cols>
    <col min="1" max="1" width="16.7109375" bestFit="1" customWidth="1"/>
    <col min="2" max="2" width="13.5703125" bestFit="1" customWidth="1"/>
    <col min="3" max="3" width="22.42578125" bestFit="1" customWidth="1"/>
    <col min="4" max="4" width="11.7109375" bestFit="1" customWidth="1"/>
    <col min="5" max="5" width="8.5703125" bestFit="1" customWidth="1"/>
    <col min="6" max="6" width="10.85546875" bestFit="1" customWidth="1"/>
    <col min="7" max="7" width="12.85546875" bestFit="1" customWidth="1"/>
    <col min="8" max="8" width="9.7109375" bestFit="1" customWidth="1"/>
    <col min="9" max="9" width="12" bestFit="1" customWidth="1"/>
  </cols>
  <sheetData>
    <row r="1" spans="1:9" x14ac:dyDescent="0.25">
      <c r="A1" s="1" t="s">
        <v>306</v>
      </c>
      <c r="B1" s="1" t="s">
        <v>307</v>
      </c>
      <c r="C1" s="1" t="s">
        <v>308</v>
      </c>
      <c r="D1" s="1" t="s">
        <v>302</v>
      </c>
      <c r="E1" s="1" t="s">
        <v>303</v>
      </c>
      <c r="F1" s="1" t="s">
        <v>304</v>
      </c>
      <c r="G1" s="1" t="s">
        <v>299</v>
      </c>
      <c r="H1" s="1" t="s">
        <v>300</v>
      </c>
      <c r="I1" s="1" t="s">
        <v>301</v>
      </c>
    </row>
    <row r="2" spans="1:9" x14ac:dyDescent="0.25">
      <c r="A2">
        <v>0</v>
      </c>
      <c r="B2" t="s">
        <v>309</v>
      </c>
      <c r="C2" t="s">
        <v>187</v>
      </c>
      <c r="D2">
        <v>0</v>
      </c>
      <c r="E2" t="s">
        <v>305</v>
      </c>
      <c r="F2" t="s">
        <v>305</v>
      </c>
      <c r="G2">
        <v>0</v>
      </c>
      <c r="H2" t="s">
        <v>465</v>
      </c>
      <c r="I2" t="s">
        <v>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"/>
  <sheetViews>
    <sheetView workbookViewId="0">
      <selection activeCell="A2" sqref="A2:C2"/>
    </sheetView>
  </sheetViews>
  <sheetFormatPr defaultRowHeight="15" x14ac:dyDescent="0.25"/>
  <cols>
    <col min="1" max="1" width="15.85546875" bestFit="1" customWidth="1"/>
    <col min="2" max="2" width="12.5703125" bestFit="1" customWidth="1"/>
    <col min="3" max="3" width="23.7109375" bestFit="1" customWidth="1"/>
    <col min="4" max="4" width="11.7109375" bestFit="1" customWidth="1"/>
    <col min="5" max="5" width="8.5703125" bestFit="1" customWidth="1"/>
    <col min="6" max="6" width="10.85546875" bestFit="1" customWidth="1"/>
    <col min="7" max="7" width="12.85546875" bestFit="1" customWidth="1"/>
    <col min="8" max="8" width="9.7109375" bestFit="1" customWidth="1"/>
    <col min="9" max="9" width="12" bestFit="1" customWidth="1"/>
  </cols>
  <sheetData>
    <row r="1" spans="1:9" x14ac:dyDescent="0.25">
      <c r="A1" s="1" t="s">
        <v>310</v>
      </c>
      <c r="B1" s="1" t="s">
        <v>311</v>
      </c>
      <c r="C1" s="1" t="s">
        <v>312</v>
      </c>
      <c r="D1" s="1" t="s">
        <v>302</v>
      </c>
      <c r="E1" s="1" t="s">
        <v>303</v>
      </c>
      <c r="F1" s="1" t="s">
        <v>304</v>
      </c>
      <c r="G1" s="1" t="s">
        <v>299</v>
      </c>
      <c r="H1" s="1" t="s">
        <v>300</v>
      </c>
      <c r="I1" s="1" t="s">
        <v>301</v>
      </c>
    </row>
    <row r="2" spans="1:9" x14ac:dyDescent="0.25">
      <c r="A2">
        <v>0</v>
      </c>
      <c r="B2" t="s">
        <v>313</v>
      </c>
      <c r="C2" t="s">
        <v>314</v>
      </c>
      <c r="D2">
        <v>0</v>
      </c>
      <c r="E2" t="s">
        <v>305</v>
      </c>
      <c r="F2" t="s">
        <v>305</v>
      </c>
      <c r="G2">
        <v>0</v>
      </c>
      <c r="H2" t="s">
        <v>465</v>
      </c>
      <c r="I2" t="s">
        <v>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"/>
  <sheetViews>
    <sheetView workbookViewId="0">
      <selection activeCell="B2" sqref="B2"/>
    </sheetView>
  </sheetViews>
  <sheetFormatPr defaultRowHeight="15" x14ac:dyDescent="0.25"/>
  <cols>
    <col min="1" max="1" width="16.5703125" bestFit="1" customWidth="1"/>
    <col min="2" max="2" width="13.5703125" bestFit="1" customWidth="1"/>
    <col min="3" max="3" width="33.140625" bestFit="1" customWidth="1"/>
    <col min="5" max="5" width="9.85546875" bestFit="1" customWidth="1"/>
    <col min="6" max="6" width="13.5703125" bestFit="1" customWidth="1"/>
    <col min="7" max="7" width="23.7109375" bestFit="1" customWidth="1"/>
    <col min="8" max="8" width="11.7109375" bestFit="1" customWidth="1"/>
    <col min="9" max="9" width="8.5703125" bestFit="1" customWidth="1"/>
    <col min="10" max="10" width="10.85546875" bestFit="1" customWidth="1"/>
    <col min="11" max="11" width="12.85546875" bestFit="1" customWidth="1"/>
    <col min="12" max="12" width="9.7109375" bestFit="1" customWidth="1"/>
  </cols>
  <sheetData>
    <row r="1" spans="1:13" x14ac:dyDescent="0.25">
      <c r="A1" s="1" t="s">
        <v>315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302</v>
      </c>
      <c r="I1" s="1" t="s">
        <v>303</v>
      </c>
      <c r="J1" s="1" t="s">
        <v>304</v>
      </c>
      <c r="K1" s="1" t="s">
        <v>299</v>
      </c>
      <c r="L1" s="1" t="s">
        <v>300</v>
      </c>
      <c r="M1" s="1" t="s">
        <v>301</v>
      </c>
    </row>
    <row r="2" spans="1:13" x14ac:dyDescent="0.25">
      <c r="A2">
        <v>0</v>
      </c>
      <c r="B2" t="s">
        <v>183</v>
      </c>
      <c r="C2" t="s">
        <v>184</v>
      </c>
      <c r="D2" t="s">
        <v>322</v>
      </c>
      <c r="E2">
        <v>0</v>
      </c>
      <c r="F2" t="s">
        <v>313</v>
      </c>
      <c r="G2" t="s">
        <v>314</v>
      </c>
      <c r="H2">
        <v>0</v>
      </c>
      <c r="I2" t="s">
        <v>305</v>
      </c>
      <c r="J2" t="s">
        <v>305</v>
      </c>
      <c r="K2">
        <v>0</v>
      </c>
      <c r="L2" t="s">
        <v>465</v>
      </c>
      <c r="M2" t="s">
        <v>465</v>
      </c>
    </row>
    <row r="3" spans="1:13" x14ac:dyDescent="0.25">
      <c r="A3">
        <v>1</v>
      </c>
      <c r="B3" t="s">
        <v>186</v>
      </c>
      <c r="C3" t="s">
        <v>187</v>
      </c>
      <c r="D3" t="s">
        <v>323</v>
      </c>
      <c r="E3">
        <v>0</v>
      </c>
      <c r="F3" t="s">
        <v>309</v>
      </c>
      <c r="G3" t="s">
        <v>187</v>
      </c>
      <c r="H3">
        <v>0</v>
      </c>
      <c r="I3" t="s">
        <v>305</v>
      </c>
      <c r="J3" t="s">
        <v>305</v>
      </c>
      <c r="K3">
        <v>0</v>
      </c>
      <c r="L3" t="s">
        <v>465</v>
      </c>
      <c r="M3" t="s">
        <v>465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C81"/>
  <sheetViews>
    <sheetView workbookViewId="0">
      <selection activeCell="K19" sqref="K19"/>
    </sheetView>
  </sheetViews>
  <sheetFormatPr defaultRowHeight="15" x14ac:dyDescent="0.25"/>
  <cols>
    <col min="2" max="81" width="7.5703125" bestFit="1" customWidth="1"/>
  </cols>
  <sheetData>
    <row r="1" spans="1:81" x14ac:dyDescent="0.25">
      <c r="A1" s="1" t="s">
        <v>466</v>
      </c>
      <c r="B1" t="s">
        <v>16</v>
      </c>
      <c r="C1" t="s">
        <v>19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33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49</v>
      </c>
      <c r="AA1" t="s">
        <v>52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64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81</v>
      </c>
      <c r="AZ1" t="s">
        <v>85</v>
      </c>
      <c r="BA1" t="s">
        <v>86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95</v>
      </c>
      <c r="BI1" t="s">
        <v>96</v>
      </c>
      <c r="BJ1" t="s">
        <v>97</v>
      </c>
      <c r="BK1" t="s">
        <v>98</v>
      </c>
      <c r="BL1" t="s">
        <v>100</v>
      </c>
      <c r="BM1" t="s">
        <v>104</v>
      </c>
      <c r="BN1" t="s">
        <v>105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114</v>
      </c>
      <c r="BV1" t="s">
        <v>116</v>
      </c>
      <c r="BW1" t="s">
        <v>117</v>
      </c>
      <c r="BX1" t="s">
        <v>118</v>
      </c>
      <c r="BY1" t="s">
        <v>119</v>
      </c>
      <c r="BZ1" t="s">
        <v>120</v>
      </c>
      <c r="CA1" t="s">
        <v>121</v>
      </c>
      <c r="CB1" t="s">
        <v>122</v>
      </c>
      <c r="CC1" t="s">
        <v>123</v>
      </c>
    </row>
    <row r="2" spans="1:81" x14ac:dyDescent="0.25">
      <c r="A2" t="s">
        <v>16</v>
      </c>
    </row>
    <row r="3" spans="1:81" x14ac:dyDescent="0.25">
      <c r="A3" t="s">
        <v>19</v>
      </c>
      <c r="B3">
        <v>1</v>
      </c>
    </row>
    <row r="4" spans="1:81" x14ac:dyDescent="0.25">
      <c r="A4" t="s">
        <v>23</v>
      </c>
      <c r="C4">
        <v>1</v>
      </c>
    </row>
    <row r="5" spans="1:81" x14ac:dyDescent="0.25">
      <c r="A5" t="s">
        <v>24</v>
      </c>
      <c r="D5">
        <v>1</v>
      </c>
    </row>
    <row r="6" spans="1:81" x14ac:dyDescent="0.25">
      <c r="A6" t="s">
        <v>25</v>
      </c>
    </row>
    <row r="7" spans="1:81" x14ac:dyDescent="0.25">
      <c r="A7" t="s">
        <v>26</v>
      </c>
    </row>
    <row r="8" spans="1:81" x14ac:dyDescent="0.25">
      <c r="A8" t="s">
        <v>27</v>
      </c>
    </row>
    <row r="9" spans="1:81" x14ac:dyDescent="0.25">
      <c r="A9" t="s">
        <v>28</v>
      </c>
    </row>
    <row r="10" spans="1:81" x14ac:dyDescent="0.25">
      <c r="A10" t="s">
        <v>29</v>
      </c>
    </row>
    <row r="11" spans="1:81" x14ac:dyDescent="0.25">
      <c r="A11" t="s">
        <v>30</v>
      </c>
    </row>
    <row r="12" spans="1:81" x14ac:dyDescent="0.25">
      <c r="A12" t="s">
        <v>31</v>
      </c>
    </row>
    <row r="13" spans="1:81" x14ac:dyDescent="0.25">
      <c r="A13" t="s">
        <v>33</v>
      </c>
    </row>
    <row r="14" spans="1:81" x14ac:dyDescent="0.25">
      <c r="A14" t="s">
        <v>36</v>
      </c>
    </row>
    <row r="15" spans="1:81" x14ac:dyDescent="0.25">
      <c r="A15" t="s">
        <v>37</v>
      </c>
    </row>
    <row r="16" spans="1:8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49</v>
      </c>
    </row>
    <row r="27" spans="1:1" x14ac:dyDescent="0.25">
      <c r="A27" t="s">
        <v>52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64</v>
      </c>
    </row>
    <row r="38" spans="1:1" x14ac:dyDescent="0.25">
      <c r="A38" t="s">
        <v>67</v>
      </c>
    </row>
    <row r="39" spans="1:1" x14ac:dyDescent="0.25">
      <c r="A39" t="s">
        <v>68</v>
      </c>
    </row>
    <row r="40" spans="1:1" x14ac:dyDescent="0.25">
      <c r="A40" t="s">
        <v>69</v>
      </c>
    </row>
    <row r="41" spans="1:1" x14ac:dyDescent="0.25">
      <c r="A41" t="s">
        <v>70</v>
      </c>
    </row>
    <row r="42" spans="1:1" x14ac:dyDescent="0.25">
      <c r="A42" t="s">
        <v>71</v>
      </c>
    </row>
    <row r="43" spans="1:1" x14ac:dyDescent="0.25">
      <c r="A43" t="s">
        <v>72</v>
      </c>
    </row>
    <row r="44" spans="1:1" x14ac:dyDescent="0.25">
      <c r="A44" t="s">
        <v>73</v>
      </c>
    </row>
    <row r="45" spans="1:1" x14ac:dyDescent="0.25">
      <c r="A45" t="s">
        <v>74</v>
      </c>
    </row>
    <row r="46" spans="1:1" x14ac:dyDescent="0.25">
      <c r="A46" t="s">
        <v>75</v>
      </c>
    </row>
    <row r="47" spans="1:1" x14ac:dyDescent="0.25">
      <c r="A47" t="s">
        <v>76</v>
      </c>
    </row>
    <row r="48" spans="1:1" x14ac:dyDescent="0.25">
      <c r="A48" t="s">
        <v>77</v>
      </c>
    </row>
    <row r="49" spans="1:1" x14ac:dyDescent="0.25">
      <c r="A49" t="s">
        <v>78</v>
      </c>
    </row>
    <row r="50" spans="1:1" x14ac:dyDescent="0.25">
      <c r="A50" t="s">
        <v>79</v>
      </c>
    </row>
    <row r="51" spans="1:1" x14ac:dyDescent="0.25">
      <c r="A51" t="s">
        <v>81</v>
      </c>
    </row>
    <row r="52" spans="1:1" x14ac:dyDescent="0.25">
      <c r="A52" t="s">
        <v>85</v>
      </c>
    </row>
    <row r="53" spans="1:1" x14ac:dyDescent="0.25">
      <c r="A53" t="s">
        <v>86</v>
      </c>
    </row>
    <row r="54" spans="1:1" x14ac:dyDescent="0.25">
      <c r="A54" t="s">
        <v>88</v>
      </c>
    </row>
    <row r="55" spans="1:1" x14ac:dyDescent="0.25">
      <c r="A55" t="s">
        <v>89</v>
      </c>
    </row>
    <row r="56" spans="1:1" x14ac:dyDescent="0.25">
      <c r="A56" t="s">
        <v>90</v>
      </c>
    </row>
    <row r="57" spans="1:1" x14ac:dyDescent="0.25">
      <c r="A57" t="s">
        <v>91</v>
      </c>
    </row>
    <row r="58" spans="1:1" x14ac:dyDescent="0.25">
      <c r="A58" t="s">
        <v>92</v>
      </c>
    </row>
    <row r="59" spans="1:1" x14ac:dyDescent="0.25">
      <c r="A59" t="s">
        <v>93</v>
      </c>
    </row>
    <row r="60" spans="1:1" x14ac:dyDescent="0.25">
      <c r="A60" t="s">
        <v>95</v>
      </c>
    </row>
    <row r="61" spans="1:1" x14ac:dyDescent="0.25">
      <c r="A61" t="s">
        <v>96</v>
      </c>
    </row>
    <row r="62" spans="1:1" x14ac:dyDescent="0.25">
      <c r="A62" t="s">
        <v>97</v>
      </c>
    </row>
    <row r="63" spans="1:1" x14ac:dyDescent="0.25">
      <c r="A63" t="s">
        <v>98</v>
      </c>
    </row>
    <row r="64" spans="1:1" x14ac:dyDescent="0.25">
      <c r="A64" t="s">
        <v>100</v>
      </c>
    </row>
    <row r="65" spans="1:1" x14ac:dyDescent="0.25">
      <c r="A65" t="s">
        <v>104</v>
      </c>
    </row>
    <row r="66" spans="1:1" x14ac:dyDescent="0.25">
      <c r="A66" t="s">
        <v>105</v>
      </c>
    </row>
    <row r="67" spans="1:1" x14ac:dyDescent="0.25">
      <c r="A67" t="s">
        <v>107</v>
      </c>
    </row>
    <row r="68" spans="1:1" x14ac:dyDescent="0.25">
      <c r="A68" t="s">
        <v>108</v>
      </c>
    </row>
    <row r="69" spans="1:1" x14ac:dyDescent="0.25">
      <c r="A69" t="s">
        <v>109</v>
      </c>
    </row>
    <row r="70" spans="1:1" x14ac:dyDescent="0.25">
      <c r="A70" t="s">
        <v>110</v>
      </c>
    </row>
    <row r="71" spans="1:1" x14ac:dyDescent="0.25">
      <c r="A71" t="s">
        <v>111</v>
      </c>
    </row>
    <row r="72" spans="1:1" x14ac:dyDescent="0.25">
      <c r="A72" t="s">
        <v>112</v>
      </c>
    </row>
    <row r="73" spans="1:1" x14ac:dyDescent="0.25">
      <c r="A73" t="s">
        <v>114</v>
      </c>
    </row>
    <row r="74" spans="1:1" x14ac:dyDescent="0.25">
      <c r="A74" t="s">
        <v>116</v>
      </c>
    </row>
    <row r="75" spans="1:1" x14ac:dyDescent="0.25">
      <c r="A75" t="s">
        <v>117</v>
      </c>
    </row>
    <row r="76" spans="1:1" x14ac:dyDescent="0.25">
      <c r="A76" t="s">
        <v>118</v>
      </c>
    </row>
    <row r="77" spans="1:1" x14ac:dyDescent="0.25">
      <c r="A77" t="s">
        <v>119</v>
      </c>
    </row>
    <row r="78" spans="1:1" x14ac:dyDescent="0.25">
      <c r="A78" t="s">
        <v>120</v>
      </c>
    </row>
    <row r="79" spans="1:1" x14ac:dyDescent="0.25">
      <c r="A79" t="s">
        <v>121</v>
      </c>
    </row>
    <row r="80" spans="1:1" x14ac:dyDescent="0.25">
      <c r="A80" t="s">
        <v>122</v>
      </c>
    </row>
    <row r="81" spans="1:1" x14ac:dyDescent="0.25">
      <c r="A81" t="s">
        <v>123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"/>
  <sheetViews>
    <sheetView workbookViewId="0">
      <selection sqref="A1:K1"/>
    </sheetView>
  </sheetViews>
  <sheetFormatPr defaultRowHeight="15" x14ac:dyDescent="0.25"/>
  <cols>
    <col min="1" max="1" width="17" bestFit="1" customWidth="1"/>
    <col min="2" max="2" width="14" bestFit="1" customWidth="1"/>
    <col min="3" max="3" width="23.7109375" bestFit="1" customWidth="1"/>
    <col min="4" max="4" width="23.7109375" customWidth="1"/>
    <col min="5" max="5" width="12.140625" bestFit="1" customWidth="1"/>
    <col min="6" max="6" width="15.85546875" bestFit="1" customWidth="1"/>
    <col min="7" max="7" width="12.5703125" bestFit="1" customWidth="1"/>
    <col min="8" max="8" width="23.7109375" bestFit="1" customWidth="1"/>
    <col min="9" max="9" width="12.85546875" bestFit="1" customWidth="1"/>
    <col min="10" max="10" width="9.7109375" bestFit="1" customWidth="1"/>
    <col min="11" max="11" width="12" bestFit="1" customWidth="1"/>
  </cols>
  <sheetData>
    <row r="1" spans="1:11" x14ac:dyDescent="0.25">
      <c r="A1" s="1" t="s">
        <v>471</v>
      </c>
      <c r="B1" s="1" t="s">
        <v>472</v>
      </c>
      <c r="C1" s="1" t="s">
        <v>474</v>
      </c>
      <c r="D1" s="1" t="s">
        <v>467</v>
      </c>
      <c r="E1" s="1" t="s">
        <v>469</v>
      </c>
      <c r="F1" s="1" t="s">
        <v>310</v>
      </c>
      <c r="G1" s="1" t="s">
        <v>311</v>
      </c>
      <c r="H1" s="1" t="s">
        <v>312</v>
      </c>
      <c r="I1" s="1" t="s">
        <v>299</v>
      </c>
      <c r="J1" s="1" t="s">
        <v>300</v>
      </c>
      <c r="K1" s="1" t="s">
        <v>301</v>
      </c>
    </row>
    <row r="2" spans="1:11" x14ac:dyDescent="0.25">
      <c r="A2">
        <v>0</v>
      </c>
      <c r="B2" t="s">
        <v>473</v>
      </c>
      <c r="C2" t="s">
        <v>475</v>
      </c>
      <c r="D2" s="4">
        <v>46048</v>
      </c>
      <c r="E2">
        <v>0</v>
      </c>
      <c r="F2">
        <v>0</v>
      </c>
      <c r="G2" t="s">
        <v>313</v>
      </c>
      <c r="H2" t="s">
        <v>314</v>
      </c>
      <c r="I2">
        <v>0</v>
      </c>
      <c r="J2" t="s">
        <v>465</v>
      </c>
      <c r="K2" t="s">
        <v>465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"/>
  <sheetViews>
    <sheetView workbookViewId="0">
      <selection sqref="A1:L1"/>
    </sheetView>
  </sheetViews>
  <sheetFormatPr defaultRowHeight="15" x14ac:dyDescent="0.25"/>
  <cols>
    <col min="1" max="1" width="17" bestFit="1" customWidth="1"/>
    <col min="2" max="2" width="14" bestFit="1" customWidth="1"/>
    <col min="3" max="3" width="16.140625" bestFit="1" customWidth="1"/>
    <col min="4" max="4" width="12" bestFit="1" customWidth="1"/>
    <col min="5" max="5" width="11.5703125" bestFit="1" customWidth="1"/>
    <col min="6" max="6" width="12.140625" bestFit="1" customWidth="1"/>
    <col min="7" max="7" width="15.85546875" bestFit="1" customWidth="1"/>
    <col min="8" max="8" width="12.5703125" bestFit="1" customWidth="1"/>
    <col min="9" max="9" width="23.7109375" bestFit="1" customWidth="1"/>
    <col min="10" max="10" width="12.85546875" bestFit="1" customWidth="1"/>
    <col min="11" max="11" width="9.28515625" customWidth="1"/>
    <col min="12" max="12" width="12" bestFit="1" customWidth="1"/>
  </cols>
  <sheetData>
    <row r="1" spans="1:12" x14ac:dyDescent="0.25">
      <c r="A1" s="1" t="s">
        <v>477</v>
      </c>
      <c r="B1" s="1" t="s">
        <v>476</v>
      </c>
      <c r="C1" s="1" t="s">
        <v>478</v>
      </c>
      <c r="D1" s="1" t="s">
        <v>468</v>
      </c>
      <c r="E1" s="3" t="s">
        <v>470</v>
      </c>
      <c r="F1" s="1" t="s">
        <v>469</v>
      </c>
      <c r="G1" s="1" t="s">
        <v>310</v>
      </c>
      <c r="H1" s="1" t="s">
        <v>311</v>
      </c>
      <c r="I1" s="1" t="s">
        <v>312</v>
      </c>
      <c r="J1" s="1" t="s">
        <v>299</v>
      </c>
      <c r="K1" s="1" t="s">
        <v>300</v>
      </c>
      <c r="L1" s="1" t="s">
        <v>301</v>
      </c>
    </row>
    <row r="2" spans="1:12" x14ac:dyDescent="0.25">
      <c r="A2">
        <v>0</v>
      </c>
      <c r="B2" t="s">
        <v>480</v>
      </c>
      <c r="C2" t="s">
        <v>479</v>
      </c>
      <c r="D2">
        <v>0</v>
      </c>
      <c r="E2" t="s">
        <v>138</v>
      </c>
      <c r="F2">
        <v>0</v>
      </c>
      <c r="G2">
        <v>0</v>
      </c>
      <c r="H2" t="s">
        <v>313</v>
      </c>
      <c r="I2" t="s">
        <v>314</v>
      </c>
      <c r="J2">
        <v>0</v>
      </c>
      <c r="K2" t="s">
        <v>465</v>
      </c>
      <c r="L2" t="s">
        <v>465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"/>
  <sheetViews>
    <sheetView workbookViewId="0">
      <selection activeCell="P28" sqref="P28"/>
    </sheetView>
  </sheetViews>
  <sheetFormatPr defaultRowHeight="15" x14ac:dyDescent="0.25"/>
  <cols>
    <col min="1" max="1" width="18.5703125" bestFit="1" customWidth="1"/>
    <col min="2" max="2" width="16.28515625" bestFit="1" customWidth="1"/>
    <col min="3" max="3" width="21.5703125" bestFit="1" customWidth="1"/>
    <col min="4" max="4" width="17.85546875" bestFit="1" customWidth="1"/>
    <col min="5" max="5" width="13.28515625" bestFit="1" customWidth="1"/>
    <col min="6" max="6" width="13.85546875" bestFit="1" customWidth="1"/>
    <col min="7" max="7" width="12.85546875" bestFit="1" customWidth="1"/>
    <col min="8" max="8" width="9.7109375" bestFit="1" customWidth="1"/>
    <col min="9" max="9" width="12" bestFit="1" customWidth="1"/>
  </cols>
  <sheetData>
    <row r="1" spans="1:9" x14ac:dyDescent="0.25">
      <c r="A1" s="1" t="s">
        <v>481</v>
      </c>
      <c r="B1" s="1" t="s">
        <v>482</v>
      </c>
      <c r="C1" s="1" t="s">
        <v>484</v>
      </c>
      <c r="D1" s="1" t="s">
        <v>486</v>
      </c>
      <c r="E1" s="3" t="s">
        <v>487</v>
      </c>
      <c r="F1" s="1" t="s">
        <v>488</v>
      </c>
      <c r="G1" s="1" t="s">
        <v>299</v>
      </c>
      <c r="H1" s="1" t="s">
        <v>300</v>
      </c>
      <c r="I1" s="1" t="s">
        <v>301</v>
      </c>
    </row>
    <row r="2" spans="1:9" x14ac:dyDescent="0.25">
      <c r="A2">
        <v>0</v>
      </c>
      <c r="B2" t="s">
        <v>483</v>
      </c>
      <c r="C2" t="s">
        <v>485</v>
      </c>
      <c r="D2">
        <v>0</v>
      </c>
      <c r="E2" t="s">
        <v>138</v>
      </c>
      <c r="F2">
        <v>0</v>
      </c>
      <c r="G2">
        <v>0</v>
      </c>
      <c r="H2" t="s">
        <v>465</v>
      </c>
      <c r="I2" t="s">
        <v>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workbookViewId="0">
      <selection activeCell="H11" sqref="H11"/>
    </sheetView>
  </sheetViews>
  <sheetFormatPr defaultRowHeight="15" x14ac:dyDescent="0.25"/>
  <cols>
    <col min="1" max="1" width="18.5703125" bestFit="1" customWidth="1"/>
    <col min="2" max="2" width="16.28515625" bestFit="1" customWidth="1"/>
    <col min="3" max="3" width="21.5703125" bestFit="1" customWidth="1"/>
    <col min="4" max="4" width="17.85546875" bestFit="1" customWidth="1"/>
    <col min="5" max="5" width="13.85546875" bestFit="1" customWidth="1"/>
    <col min="6" max="6" width="12.85546875" bestFit="1" customWidth="1"/>
    <col min="7" max="7" width="9.7109375" bestFit="1" customWidth="1"/>
    <col min="8" max="8" width="12" bestFit="1" customWidth="1"/>
  </cols>
  <sheetData>
    <row r="1" spans="1:8" x14ac:dyDescent="0.25">
      <c r="A1" s="1" t="s">
        <v>481</v>
      </c>
      <c r="B1" s="1" t="s">
        <v>482</v>
      </c>
      <c r="C1" s="1" t="s">
        <v>484</v>
      </c>
      <c r="D1" s="1" t="s">
        <v>489</v>
      </c>
      <c r="E1" s="1" t="s">
        <v>488</v>
      </c>
      <c r="F1" s="1" t="s">
        <v>299</v>
      </c>
      <c r="G1" s="1" t="s">
        <v>300</v>
      </c>
      <c r="H1" s="1" t="s">
        <v>301</v>
      </c>
    </row>
    <row r="2" spans="1:8" x14ac:dyDescent="0.25">
      <c r="A2">
        <v>0</v>
      </c>
      <c r="B2" t="s">
        <v>483</v>
      </c>
      <c r="C2" t="s">
        <v>485</v>
      </c>
      <c r="D2" s="4">
        <v>46048</v>
      </c>
      <c r="E2">
        <v>0</v>
      </c>
      <c r="F2">
        <v>0</v>
      </c>
      <c r="G2" t="s">
        <v>465</v>
      </c>
      <c r="H2" t="s">
        <v>465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8D90-B9D8-4E8E-B8C5-B87B3EDD59F1}">
  <dimension ref="A1:Q1"/>
  <sheetViews>
    <sheetView workbookViewId="0">
      <selection activeCell="P21" sqref="P21"/>
    </sheetView>
  </sheetViews>
  <sheetFormatPr defaultRowHeight="15" x14ac:dyDescent="0.25"/>
  <cols>
    <col min="1" max="1" width="15.140625" bestFit="1" customWidth="1"/>
    <col min="2" max="2" width="11.85546875" bestFit="1" customWidth="1"/>
    <col min="3" max="3" width="14.28515625" bestFit="1" customWidth="1"/>
    <col min="4" max="4" width="11.42578125" bestFit="1" customWidth="1"/>
    <col min="5" max="5" width="14.85546875" bestFit="1" customWidth="1"/>
    <col min="6" max="6" width="10.85546875" bestFit="1" customWidth="1"/>
    <col min="10" max="10" width="15.7109375" bestFit="1" customWidth="1"/>
    <col min="13" max="13" width="22" bestFit="1" customWidth="1"/>
    <col min="14" max="14" width="23.7109375" bestFit="1" customWidth="1"/>
    <col min="15" max="15" width="19" bestFit="1" customWidth="1"/>
    <col min="16" max="16" width="13.5703125" bestFit="1" customWidth="1"/>
    <col min="17" max="17" width="10.5703125" bestFit="1" customWidth="1"/>
  </cols>
  <sheetData>
    <row r="1" spans="1:17" x14ac:dyDescent="0.25">
      <c r="A1" t="s">
        <v>490</v>
      </c>
      <c r="B1" t="s">
        <v>491</v>
      </c>
      <c r="C1" t="s">
        <v>492</v>
      </c>
      <c r="D1" t="s">
        <v>493</v>
      </c>
      <c r="E1" t="s">
        <v>494</v>
      </c>
      <c r="F1" t="s">
        <v>495</v>
      </c>
      <c r="G1" t="s">
        <v>496</v>
      </c>
      <c r="H1" t="s">
        <v>497</v>
      </c>
      <c r="I1" t="s">
        <v>498</v>
      </c>
      <c r="J1" t="s">
        <v>499</v>
      </c>
      <c r="K1" t="s">
        <v>500</v>
      </c>
      <c r="L1" t="s">
        <v>501</v>
      </c>
      <c r="M1" t="s">
        <v>505</v>
      </c>
      <c r="N1" t="s">
        <v>506</v>
      </c>
      <c r="O1" t="s">
        <v>502</v>
      </c>
      <c r="P1" t="s">
        <v>503</v>
      </c>
      <c r="Q1" t="s">
        <v>504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35F8-7819-4E55-92CB-94AF21738FD2}">
  <dimension ref="A1"/>
  <sheetViews>
    <sheetView workbookViewId="0">
      <selection activeCell="O34" sqref="O34"/>
    </sheetView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96F8-8227-499C-B3D4-F942CBC18395}">
  <dimension ref="A1"/>
  <sheetViews>
    <sheetView workbookViewId="0">
      <selection activeCell="Y34" sqref="Y34"/>
    </sheetView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5419-A74B-4CF2-B296-169B0EC979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E508-4EF3-4CE2-915A-C48C27323B08}">
  <dimension ref="A1"/>
  <sheetViews>
    <sheetView workbookViewId="0">
      <selection activeCell="X37" sqref="X37"/>
    </sheetView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2BAD-419E-4653-8809-5C67056F6E86}">
  <dimension ref="A1:C1"/>
  <sheetViews>
    <sheetView workbookViewId="0">
      <selection activeCell="D2" sqref="D2"/>
    </sheetView>
  </sheetViews>
  <sheetFormatPr defaultRowHeight="15" x14ac:dyDescent="0.25"/>
  <cols>
    <col min="1" max="1" width="10.140625" bestFit="1" customWidth="1"/>
  </cols>
  <sheetData>
    <row r="1" spans="1:3" x14ac:dyDescent="0.25">
      <c r="A1" t="s">
        <v>507</v>
      </c>
      <c r="B1" t="s">
        <v>508</v>
      </c>
      <c r="C1" t="s">
        <v>509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7E86-413A-43BD-B30E-2B11419D635F}">
  <dimension ref="A1"/>
  <sheetViews>
    <sheetView workbookViewId="0">
      <selection activeCell="C6" sqref="C6"/>
    </sheetView>
  </sheetViews>
  <sheetFormatPr defaultRowHeight="15" x14ac:dyDescent="0.25"/>
  <sheetData>
    <row r="1" spans="1:1" x14ac:dyDescent="0.25">
      <c r="A1" t="s">
        <v>510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75DA-14D0-47FB-91BA-328CDFE34017}">
  <dimension ref="A1"/>
  <sheetViews>
    <sheetView workbookViewId="0">
      <selection activeCell="AD52" sqref="AD5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ProcessorTypeTbl</vt:lpstr>
      <vt:lpstr>LocationTbl</vt:lpstr>
      <vt:lpstr>TaskTbl</vt:lpstr>
      <vt:lpstr>TaskResourcesTbl</vt:lpstr>
      <vt:lpstr>ResourceTbl</vt:lpstr>
      <vt:lpstr>ProcessorTbl</vt:lpstr>
      <vt:lpstr>StationTbl</vt:lpstr>
      <vt:lpstr>ProductsTbl</vt:lpstr>
      <vt:lpstr>ConfigTbl</vt:lpstr>
      <vt:lpstr>ProcessUnitTbl</vt:lpstr>
      <vt:lpstr>ArrivalUnitTbl</vt:lpstr>
      <vt:lpstr>ComponentsTbl</vt:lpstr>
      <vt:lpstr>Product01</vt:lpstr>
      <vt:lpstr>ArrivalDatesTbl</vt:lpstr>
      <vt:lpstr>ArrivalRatesTbl</vt:lpstr>
      <vt:lpstr>DeliveryRatesTbl</vt:lpstr>
      <vt:lpstr>DeliveryDatesTbl</vt:lpstr>
      <vt:lpstr>PersonnelTbl_todo</vt:lpstr>
      <vt:lpstr>HolidayClndrTbl_todo</vt:lpstr>
      <vt:lpstr>PTOTbl_todo</vt:lpstr>
      <vt:lpstr>OvertimeTable_todo</vt:lpstr>
      <vt:lpstr>SchdPaternTbl_todo</vt:lpstr>
      <vt:lpstr>ShiftTbl_todo</vt:lpstr>
      <vt:lpstr>ShiftSegmentTbl_todo</vt:lpstr>
      <vt:lpstr>ProductionModel_todo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Weber</cp:lastModifiedBy>
  <dcterms:created xsi:type="dcterms:W3CDTF">2025-02-09T07:14:02Z</dcterms:created>
  <dcterms:modified xsi:type="dcterms:W3CDTF">2025-02-09T17:39:46Z</dcterms:modified>
</cp:coreProperties>
</file>